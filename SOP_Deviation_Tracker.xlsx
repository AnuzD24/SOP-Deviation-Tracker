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viation Log" sheetId="2" state="visible" r:id="rId4"/>
    <sheet name="SOP Rules Reference" sheetId="3" state="visible" r:id="rId5"/>
    <sheet name="⚠ High Priority Open" sheetId="4" state="visible" r:id="rId6"/>
    <sheet name="SQL Que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<sst xmlns="http://schemas.openxmlformats.org/spreadsheetml/2006/main" count="1143" uniqueCount="544">
  <si>
    <t xml:space="preserve">SOP Deviation Tracker — Dashboard</t>
  </si>
  <si>
    <t xml:space="preserve">Tracks labelling and documentation deviations found during compliance review</t>
  </si>
  <si>
    <t xml:space="preserve">Total Deviations</t>
  </si>
  <si>
    <t xml:space="preserve">✓ Resolved</t>
  </si>
  <si>
    <t xml:space="preserve">✗ Rejected</t>
  </si>
  <si>
    <t xml:space="preserve">⚠ Escalated</t>
  </si>
  <si>
    <t xml:space="preserve">⏳ Pending</t>
  </si>
  <si>
    <t xml:space="preserve">🔴 High Severity</t>
  </si>
  <si>
    <t xml:space="preserve">Deviations by Category</t>
  </si>
  <si>
    <t xml:space="preserve">Deviations by Severity</t>
  </si>
  <si>
    <t xml:space="preserve">Electronics</t>
  </si>
  <si>
    <t xml:space="preserve">High</t>
  </si>
  <si>
    <t xml:space="preserve">Food &amp; Beverages</t>
  </si>
  <si>
    <t xml:space="preserve">Medium</t>
  </si>
  <si>
    <t xml:space="preserve">Cosmetics</t>
  </si>
  <si>
    <t xml:space="preserve">Low</t>
  </si>
  <si>
    <t xml:space="preserve">Toys</t>
  </si>
  <si>
    <t xml:space="preserve">Home &amp; Kitchen</t>
  </si>
  <si>
    <t xml:space="preserve">Deviations by Reviewer</t>
  </si>
  <si>
    <t xml:space="preserve">Anu</t>
  </si>
  <si>
    <t xml:space="preserve">Joel</t>
  </si>
  <si>
    <t xml:space="preserve">April</t>
  </si>
  <si>
    <t xml:space="preserve">Autumn</t>
  </si>
  <si>
    <t xml:space="preserve">Atlas</t>
  </si>
  <si>
    <t xml:space="preserve">Log ID</t>
  </si>
  <si>
    <t xml:space="preserve">Product ID</t>
  </si>
  <si>
    <t xml:space="preserve">Product Name</t>
  </si>
  <si>
    <t xml:space="preserve">Category</t>
  </si>
  <si>
    <t xml:space="preserve">Country</t>
  </si>
  <si>
    <t xml:space="preserve">Reg. Doc</t>
  </si>
  <si>
    <t xml:space="preserve">SOP ID</t>
  </si>
  <si>
    <t xml:space="preserve">SOP Rule</t>
  </si>
  <si>
    <t xml:space="preserve">Expected Finding</t>
  </si>
  <si>
    <t xml:space="preserve">Actual Finding</t>
  </si>
  <si>
    <t xml:space="preserve">Deviation Type</t>
  </si>
  <si>
    <t xml:space="preserve">Severity</t>
  </si>
  <si>
    <t xml:space="preserve">Reviewer</t>
  </si>
  <si>
    <t xml:space="preserve">Date Logged</t>
  </si>
  <si>
    <t xml:space="preserve">Status</t>
  </si>
  <si>
    <t xml:space="preserve">Action Taken</t>
  </si>
  <si>
    <t xml:space="preserve">DEV001</t>
  </si>
  <si>
    <t xml:space="preserve">PROD003</t>
  </si>
  <si>
    <t xml:space="preserve">boAt Airdopes 131 TWS</t>
  </si>
  <si>
    <t xml:space="preserve">India</t>
  </si>
  <si>
    <t xml:space="preserve">BIS</t>
  </si>
  <si>
    <t xml:space="preserve">SOP002</t>
  </si>
  <si>
    <t xml:space="preserve">MRP must be printed on outer packaging</t>
  </si>
  <si>
    <t xml:space="preserve">MRP printed clearly on box</t>
  </si>
  <si>
    <t xml:space="preserve">MRP missing from outer box, only on inner tray</t>
  </si>
  <si>
    <t xml:space="preserve">Wrong Placement</t>
  </si>
  <si>
    <t xml:space="preserve">2025-11-21</t>
  </si>
  <si>
    <t xml:space="preserve">Resolved</t>
  </si>
  <si>
    <t xml:space="preserve">Seller notified to reprint packaging with MRP on outer box</t>
  </si>
  <si>
    <t xml:space="preserve">DEV002</t>
  </si>
  <si>
    <t xml:space="preserve">PROD005</t>
  </si>
  <si>
    <t xml:space="preserve">boAt Stone 352 Bluetooth Speaker</t>
  </si>
  <si>
    <t xml:space="preserve">SOP003</t>
  </si>
  <si>
    <t xml:space="preserve">Manufacturer address must match registration</t>
  </si>
  <si>
    <t xml:space="preserve">Registered address: Khasra 401, MG Road, Gurugram</t>
  </si>
  <si>
    <t xml:space="preserve">Packaging shows: Plot 22, Sector 5, Noida</t>
  </si>
  <si>
    <t xml:space="preserve">Address Mismatch</t>
  </si>
  <si>
    <t xml:space="preserve">2025-11-22</t>
  </si>
  <si>
    <t xml:space="preserve">Escalated</t>
  </si>
  <si>
    <t xml:space="preserve">Escalated to Process Expert — seller asked to provide updated registration</t>
  </si>
  <si>
    <t xml:space="preserve">DEV003</t>
  </si>
  <si>
    <t xml:space="preserve">PROD010</t>
  </si>
  <si>
    <t xml:space="preserve">Realme 11 Pro Plus 5G</t>
  </si>
  <si>
    <t xml:space="preserve">SOP001</t>
  </si>
  <si>
    <t xml:space="preserve">BIS certification number must be present on label</t>
  </si>
  <si>
    <t xml:space="preserve">BIS R-XXXXX number printed below barcode</t>
  </si>
  <si>
    <t xml:space="preserve">BIS certification number absent from label</t>
  </si>
  <si>
    <t xml:space="preserve">Missing Information</t>
  </si>
  <si>
    <t xml:space="preserve">2025-11-30</t>
  </si>
  <si>
    <t xml:space="preserve">Seller submitted revised label with BIS number — recheck approved</t>
  </si>
  <si>
    <t xml:space="preserve">DEV004</t>
  </si>
  <si>
    <t xml:space="preserve">PROD012</t>
  </si>
  <si>
    <t xml:space="preserve">Mi Smart Band 7</t>
  </si>
  <si>
    <t xml:space="preserve">MRP printed on outer packaging</t>
  </si>
  <si>
    <t xml:space="preserve">MRP sticker placed over original price — original not visible</t>
  </si>
  <si>
    <t xml:space="preserve">Non-Compliant Label</t>
  </si>
  <si>
    <t xml:space="preserve">2025-12-01</t>
  </si>
  <si>
    <t xml:space="preserve">Rejected</t>
  </si>
  <si>
    <t xml:space="preserve">Rejected — stickering over original price not permitted under BIS SOP</t>
  </si>
  <si>
    <t xml:space="preserve">DEV005</t>
  </si>
  <si>
    <t xml:space="preserve">PROD018</t>
  </si>
  <si>
    <t xml:space="preserve">Syska 20W Fast Charger</t>
  </si>
  <si>
    <t xml:space="preserve">Registered address: Syska Group, Andheri East, Mumbai</t>
  </si>
  <si>
    <t xml:space="preserve">Packaging shows warehouse address instead of registered office</t>
  </si>
  <si>
    <t xml:space="preserve">Wrong Address Type</t>
  </si>
  <si>
    <t xml:space="preserve">2025-12-03</t>
  </si>
  <si>
    <t xml:space="preserve">Seller corrected packaging to show registered office address</t>
  </si>
  <si>
    <t xml:space="preserve">DEV006</t>
  </si>
  <si>
    <t xml:space="preserve">PROD022</t>
  </si>
  <si>
    <t xml:space="preserve">Micromax IN Note 2</t>
  </si>
  <si>
    <t xml:space="preserve">BIS R-XXXXX clearly printed</t>
  </si>
  <si>
    <t xml:space="preserve">BIS number present but printed below minimum readable font size</t>
  </si>
  <si>
    <t xml:space="preserve">Font Size Non-Compliant</t>
  </si>
  <si>
    <t xml:space="preserve">2025-12-05</t>
  </si>
  <si>
    <t xml:space="preserve">Pending Review</t>
  </si>
  <si>
    <t xml:space="preserve">Awaiting updated artwork from seller for font size correction</t>
  </si>
  <si>
    <t xml:space="preserve">DEV007</t>
  </si>
  <si>
    <t xml:space="preserve">PROD025</t>
  </si>
  <si>
    <t xml:space="preserve">Bajaj Majesty 750W Mixer</t>
  </si>
  <si>
    <t xml:space="preserve">MRP printed in INR on front panel</t>
  </si>
  <si>
    <t xml:space="preserve">MRP printed but without INR symbol — only numeric value shown</t>
  </si>
  <si>
    <t xml:space="preserve">Incomplete Information</t>
  </si>
  <si>
    <t xml:space="preserve">2025-12-08</t>
  </si>
  <si>
    <t xml:space="preserve">Seller updated label to include INR symbol alongside MRP</t>
  </si>
  <si>
    <t xml:space="preserve">DEV008</t>
  </si>
  <si>
    <t xml:space="preserve">PROD108</t>
  </si>
  <si>
    <t xml:space="preserve">Apple Watch Series 9 GPS</t>
  </si>
  <si>
    <t xml:space="preserve">USA</t>
  </si>
  <si>
    <t xml:space="preserve">FCC</t>
  </si>
  <si>
    <t xml:space="preserve">SOP004</t>
  </si>
  <si>
    <t xml:space="preserve">FCC ID must be visible on product</t>
  </si>
  <si>
    <t xml:space="preserve">FCC ID printed on device back</t>
  </si>
  <si>
    <t xml:space="preserve">FCC ID accessible only via Settings menu — not physically printed</t>
  </si>
  <si>
    <t xml:space="preserve">Physical Label Missing</t>
  </si>
  <si>
    <t xml:space="preserve">2025-12-10</t>
  </si>
  <si>
    <t xml:space="preserve">Escalated — FCC requires physical ID on device, software display not sufficient</t>
  </si>
  <si>
    <t xml:space="preserve">DEV009</t>
  </si>
  <si>
    <t xml:space="preserve">PROD105</t>
  </si>
  <si>
    <t xml:space="preserve">Apple iPhone 15 Pro 256GB</t>
  </si>
  <si>
    <t xml:space="preserve">SOP005</t>
  </si>
  <si>
    <t xml:space="preserve">Country of origin label required in English</t>
  </si>
  <si>
    <t xml:space="preserve">Made in China printed on device and packaging</t>
  </si>
  <si>
    <t xml:space="preserve">Country of origin on box only — device itself has no COO marking</t>
  </si>
  <si>
    <t xml:space="preserve">Missing Label on Unit</t>
  </si>
  <si>
    <t xml:space="preserve">2025-12-12</t>
  </si>
  <si>
    <t xml:space="preserve">Awaiting confirmation from Apple India team on device-level COO placement</t>
  </si>
  <si>
    <t xml:space="preserve">DEV010</t>
  </si>
  <si>
    <t xml:space="preserve">PROD116</t>
  </si>
  <si>
    <t xml:space="preserve">Samsung 43 inch Smart TV</t>
  </si>
  <si>
    <t xml:space="preserve">South Korea</t>
  </si>
  <si>
    <t xml:space="preserve">Made in South Korea — on back panel</t>
  </si>
  <si>
    <t xml:space="preserve">Label present but in Korean script — English version absent</t>
  </si>
  <si>
    <t xml:space="preserve">Language Non-Compliance</t>
  </si>
  <si>
    <t xml:space="preserve">2025-12-14</t>
  </si>
  <si>
    <t xml:space="preserve">Samsung India added English COO label to back panel — re-inspection passed</t>
  </si>
  <si>
    <t xml:space="preserve">DEV011</t>
  </si>
  <si>
    <t xml:space="preserve">PROD120</t>
  </si>
  <si>
    <t xml:space="preserve">Dell XPS 13 Laptop 13th Gen</t>
  </si>
  <si>
    <t xml:space="preserve">FCC ID on bottom label of laptop</t>
  </si>
  <si>
    <t xml:space="preserve">FCC ID label present but partially obscured by warranty void sticker</t>
  </si>
  <si>
    <t xml:space="preserve">Label Obstruction</t>
  </si>
  <si>
    <t xml:space="preserve">2025-12-16</t>
  </si>
  <si>
    <t xml:space="preserve">Seller repositioned warranty sticker — FCC ID now fully visible</t>
  </si>
  <si>
    <t xml:space="preserve">DEV012</t>
  </si>
  <si>
    <t xml:space="preserve">PROD034</t>
  </si>
  <si>
    <t xml:space="preserve">Tata Tea Premium 500g</t>
  </si>
  <si>
    <t xml:space="preserve">FSSAI</t>
  </si>
  <si>
    <t xml:space="preserve">SOP009</t>
  </si>
  <si>
    <t xml:space="preserve">Best before date must be in DD/MM/YYYY format</t>
  </si>
  <si>
    <t xml:space="preserve">Best before: 15/03/2026</t>
  </si>
  <si>
    <t xml:space="preserve">Best before printed as: MAR 2026 — month name used instead of number</t>
  </si>
  <si>
    <t xml:space="preserve">Date Format Error</t>
  </si>
  <si>
    <t xml:space="preserve">2025-12-18</t>
  </si>
  <si>
    <t xml:space="preserve">Seller updated packaging to use DD/MM/YYYY format as per FSSAI SOP</t>
  </si>
  <si>
    <t xml:space="preserve">DEV013</t>
  </si>
  <si>
    <t xml:space="preserve">PROD036</t>
  </si>
  <si>
    <t xml:space="preserve">Nescafe Classic Coffee 50g</t>
  </si>
  <si>
    <t xml:space="preserve">SOP010</t>
  </si>
  <si>
    <t xml:space="preserve">Allergen declaration must be highlighted in bold</t>
  </si>
  <si>
    <t xml:space="preserve">Contains milk: printed in bold on back label</t>
  </si>
  <si>
    <t xml:space="preserve">Allergen text present but in regular font — not highlighted or bold</t>
  </si>
  <si>
    <t xml:space="preserve">Non-Compliant Formatting</t>
  </si>
  <si>
    <t xml:space="preserve">2025-12-20</t>
  </si>
  <si>
    <t xml:space="preserve">Escalated to compliance team — FSSAI mandate requires bold allergen text</t>
  </si>
  <si>
    <t xml:space="preserve">DEV014</t>
  </si>
  <si>
    <t xml:space="preserve">PROD039</t>
  </si>
  <si>
    <t xml:space="preserve">Haldiram Namkeen Mix 200g</t>
  </si>
  <si>
    <t xml:space="preserve">SOP008</t>
  </si>
  <si>
    <t xml:space="preserve">Nutritional information table must be present</t>
  </si>
  <si>
    <t xml:space="preserve">Full nutritional table with calories, fat, protein, carbs per 100g</t>
  </si>
  <si>
    <t xml:space="preserve">Nutritional table present but missing sodium and sugar content</t>
  </si>
  <si>
    <t xml:space="preserve">Incomplete Data</t>
  </si>
  <si>
    <t xml:space="preserve">2025-12-22</t>
  </si>
  <si>
    <t xml:space="preserve">Rejected — incomplete nutritional table does not meet FSSAI standard</t>
  </si>
  <si>
    <t xml:space="preserve">DEV015</t>
  </si>
  <si>
    <t xml:space="preserve">PROD043</t>
  </si>
  <si>
    <t xml:space="preserve">India Gate Basmati Rice 1kg</t>
  </si>
  <si>
    <t xml:space="preserve">SOP007</t>
  </si>
  <si>
    <t xml:space="preserve">FSSAI license number must appear on front label</t>
  </si>
  <si>
    <t xml:space="preserve">FSSAI Lic. No. 10012021XXXXX on front label</t>
  </si>
  <si>
    <t xml:space="preserve">FSSAI number present on back label only — not visible on front</t>
  </si>
  <si>
    <t xml:space="preserve">2025-12-24</t>
  </si>
  <si>
    <t xml:space="preserve">Seller repositioned FSSAI number to front label as per SOP requirement</t>
  </si>
  <si>
    <t xml:space="preserve">DEV016</t>
  </si>
  <si>
    <t xml:space="preserve">PROD046</t>
  </si>
  <si>
    <t xml:space="preserve">Patanjali Honey 500g</t>
  </si>
  <si>
    <t xml:space="preserve">Allergen info in bold on front label</t>
  </si>
  <si>
    <t xml:space="preserve">No allergen declaration found on label</t>
  </si>
  <si>
    <t xml:space="preserve">2025-12-26</t>
  </si>
  <si>
    <t xml:space="preserve">Rejected — allergen declaration completely absent, seller must reprint labels</t>
  </si>
  <si>
    <t xml:space="preserve">DEV017</t>
  </si>
  <si>
    <t xml:space="preserve">PROD049</t>
  </si>
  <si>
    <t xml:space="preserve">MTR Ready to Eat Masala Dosa</t>
  </si>
  <si>
    <t xml:space="preserve">Best before: 10/08/2026</t>
  </si>
  <si>
    <t xml:space="preserve">Expiry date printed as: 08-2026 — day omitted</t>
  </si>
  <si>
    <t xml:space="preserve">2025-12-28</t>
  </si>
  <si>
    <t xml:space="preserve">Rejected — day must be included in date format per FSSAI SOP009</t>
  </si>
  <si>
    <t xml:space="preserve">DEV018</t>
  </si>
  <si>
    <t xml:space="preserve">PROD138</t>
  </si>
  <si>
    <t xml:space="preserve">Monster Energy Drink 500ml</t>
  </si>
  <si>
    <t xml:space="preserve">FDA</t>
  </si>
  <si>
    <t xml:space="preserve">SOP011</t>
  </si>
  <si>
    <t xml:space="preserve">Net quantity must be in metric units</t>
  </si>
  <si>
    <t xml:space="preserve">500ml printed prominently on front</t>
  </si>
  <si>
    <t xml:space="preserve">Can shows 16.9 fl oz — metric equivalent 500ml in much smaller font</t>
  </si>
  <si>
    <t xml:space="preserve">Metric Unit Not Prominent</t>
  </si>
  <si>
    <t xml:space="preserve">2026-01-02</t>
  </si>
  <si>
    <t xml:space="preserve">Importer updated label to show 500ml in same prominence as fl oz value</t>
  </si>
  <si>
    <t xml:space="preserve">DEV019</t>
  </si>
  <si>
    <t xml:space="preserve">PROD148</t>
  </si>
  <si>
    <t xml:space="preserve">McVitie's Digestive 400g</t>
  </si>
  <si>
    <t xml:space="preserve">UK</t>
  </si>
  <si>
    <t xml:space="preserve">CE-Mark</t>
  </si>
  <si>
    <t xml:space="preserve">Best before: 22/09/2026</t>
  </si>
  <si>
    <t xml:space="preserve">Date printed as: 22 Sep 26 — abbreviated month and year format</t>
  </si>
  <si>
    <t xml:space="preserve">2026-01-04</t>
  </si>
  <si>
    <t xml:space="preserve">Importer corrected date format to DD/MM/YYYY on India-specific packaging</t>
  </si>
  <si>
    <t xml:space="preserve">DEV020</t>
  </si>
  <si>
    <t xml:space="preserve">PROD157</t>
  </si>
  <si>
    <t xml:space="preserve">Heinz Tomato Ketchup 910g</t>
  </si>
  <si>
    <t xml:space="preserve">SOP012</t>
  </si>
  <si>
    <t xml:space="preserve">Ingredient list must be in descending order by weight</t>
  </si>
  <si>
    <t xml:space="preserve">Tomatoes, Distilled Vinegar, Corn Syrup, Salt...</t>
  </si>
  <si>
    <t xml:space="preserve">Corn syrup listed before vinegar despite lower weight</t>
  </si>
  <si>
    <t xml:space="preserve">Sequence Error</t>
  </si>
  <si>
    <t xml:space="preserve">2026-01-06</t>
  </si>
  <si>
    <t xml:space="preserve">Escalated to Process Expert — requires lab verification of ingredient weights</t>
  </si>
  <si>
    <t xml:space="preserve">DEV021</t>
  </si>
  <si>
    <t xml:space="preserve">PROD163</t>
  </si>
  <si>
    <t xml:space="preserve">Ben &amp; Jerry's Ice Cream 473ml</t>
  </si>
  <si>
    <t xml:space="preserve">Contains: Milk, Eggs, Wheat, Soy in bold</t>
  </si>
  <si>
    <t xml:space="preserve">Allergen text in bold but tree nuts not listed despite containing almonds</t>
  </si>
  <si>
    <t xml:space="preserve">Incomplete Allergen List</t>
  </si>
  <si>
    <t xml:space="preserve">2026-01-08</t>
  </si>
  <si>
    <t xml:space="preserve">Rejected — undeclared tree nut allergen is a critical food safety violation</t>
  </si>
  <si>
    <t xml:space="preserve">DEV022</t>
  </si>
  <si>
    <t xml:space="preserve">PROD055</t>
  </si>
  <si>
    <t xml:space="preserve">Lakme 9to5 Lipstick</t>
  </si>
  <si>
    <t xml:space="preserve">CDSCO</t>
  </si>
  <si>
    <t xml:space="preserve">SOP013</t>
  </si>
  <si>
    <t xml:space="preserve">Batch number and manufacturing date must be present</t>
  </si>
  <si>
    <t xml:space="preserve">Batch no. and Mfg date printed on base of product</t>
  </si>
  <si>
    <t xml:space="preserve">Manufacturing date present but batch number missing from all surfaces</t>
  </si>
  <si>
    <t xml:space="preserve">2026-01-10</t>
  </si>
  <si>
    <t xml:space="preserve">Seller added batch number to base label — re-inspection passed</t>
  </si>
  <si>
    <t xml:space="preserve">DEV023</t>
  </si>
  <si>
    <t xml:space="preserve">PROD058</t>
  </si>
  <si>
    <t xml:space="preserve">Plum Niacinamide Serum 30ml</t>
  </si>
  <si>
    <t xml:space="preserve">SOP015</t>
  </si>
  <si>
    <t xml:space="preserve">Shelf life after opening must be indicated</t>
  </si>
  <si>
    <t xml:space="preserve">PAO symbol with 12M printed on label</t>
  </si>
  <si>
    <t xml:space="preserve">No Period After Opening (PAO) symbol found on product or packaging</t>
  </si>
  <si>
    <t xml:space="preserve">2026-01-12</t>
  </si>
  <si>
    <t xml:space="preserve">Seller added PAO 12M symbol to label — approved after re-check</t>
  </si>
  <si>
    <t xml:space="preserve">DEV024</t>
  </si>
  <si>
    <t xml:space="preserve">PROD060</t>
  </si>
  <si>
    <t xml:space="preserve">WOW Apple Cider Vinegar Shampoo</t>
  </si>
  <si>
    <t xml:space="preserve">SOP014</t>
  </si>
  <si>
    <t xml:space="preserve">List of ingredients must use INCI names</t>
  </si>
  <si>
    <t xml:space="preserve">Aqua, Sodium Laureth Sulfate, Cocamidopropyl Betaine...</t>
  </si>
  <si>
    <t xml:space="preserve">Ingredients listed using common names — e.g. Water instead of Aqua</t>
  </si>
  <si>
    <t xml:space="preserve">Wrong Nomenclature</t>
  </si>
  <si>
    <t xml:space="preserve">2026-01-14</t>
  </si>
  <si>
    <t xml:space="preserve">Seller updating ingredient list to INCI standard — review pending</t>
  </si>
  <si>
    <t xml:space="preserve">DEV025</t>
  </si>
  <si>
    <t xml:space="preserve">PROD066</t>
  </si>
  <si>
    <t xml:space="preserve">Lotus Herbals Whiteglow Cream</t>
  </si>
  <si>
    <t xml:space="preserve">Batch and Mfg date on carton and tube</t>
  </si>
  <si>
    <t xml:space="preserve">Batch number on carton but absent from tube itself</t>
  </si>
  <si>
    <t xml:space="preserve">Inconsistent Labelling</t>
  </si>
  <si>
    <t xml:space="preserve">2026-01-16</t>
  </si>
  <si>
    <t xml:space="preserve">Rejected — batch number must appear on product unit not just outer carton</t>
  </si>
  <si>
    <t xml:space="preserve">DEV026</t>
  </si>
  <si>
    <t xml:space="preserve">PROD074</t>
  </si>
  <si>
    <t xml:space="preserve">Nykaa Kajal Black Magic</t>
  </si>
  <si>
    <t xml:space="preserve">PAO 24M symbol on label</t>
  </si>
  <si>
    <t xml:space="preserve">Shelf life stated as 2 years but no PAO symbol — text only</t>
  </si>
  <si>
    <t xml:space="preserve">Wrong Format</t>
  </si>
  <si>
    <t xml:space="preserve">2026-01-18</t>
  </si>
  <si>
    <t xml:space="preserve">Seller replaced text with standard PAO symbol as required by CDSCO</t>
  </si>
  <si>
    <t xml:space="preserve">DEV027</t>
  </si>
  <si>
    <t xml:space="preserve">PROD166</t>
  </si>
  <si>
    <t xml:space="preserve">Maybelline SuperStay Lipstick</t>
  </si>
  <si>
    <t xml:space="preserve">SOP016</t>
  </si>
  <si>
    <t xml:space="preserve">Warning statements must be in English</t>
  </si>
  <si>
    <t xml:space="preserve">Keep out of reach of children — in English on label</t>
  </si>
  <si>
    <t xml:space="preserve">Warning present in English and French — French text larger than English</t>
  </si>
  <si>
    <t xml:space="preserve">Prominence Issue</t>
  </si>
  <si>
    <t xml:space="preserve">2026-01-20</t>
  </si>
  <si>
    <t xml:space="preserve">Importer updated label — English warnings now in equal or larger font</t>
  </si>
  <si>
    <t xml:space="preserve">DEV028</t>
  </si>
  <si>
    <t xml:space="preserve">PROD169</t>
  </si>
  <si>
    <t xml:space="preserve">Nivea Soft Moisturising Cream</t>
  </si>
  <si>
    <t xml:space="preserve">Germany</t>
  </si>
  <si>
    <t xml:space="preserve">Aqua, Glycerin, Paraffinum Liquidum...</t>
  </si>
  <si>
    <t xml:space="preserve">German INCI names used — Wasser instead of Aqua on India import batch</t>
  </si>
  <si>
    <t xml:space="preserve">Wrong Language INCI</t>
  </si>
  <si>
    <t xml:space="preserve">2026-01-22</t>
  </si>
  <si>
    <t xml:space="preserve">Rejected — India import batch must use English INCI names on label</t>
  </si>
  <si>
    <t xml:space="preserve">DEV029</t>
  </si>
  <si>
    <t xml:space="preserve">PROD172</t>
  </si>
  <si>
    <t xml:space="preserve">The Body Shop Shea Butter</t>
  </si>
  <si>
    <t xml:space="preserve">PAO 12M symbol on label</t>
  </si>
  <si>
    <t xml:space="preserve">PAO symbol present but faded and illegible on received batch</t>
  </si>
  <si>
    <t xml:space="preserve">Print Quality Issue</t>
  </si>
  <si>
    <t xml:space="preserve">2026-01-24</t>
  </si>
  <si>
    <t xml:space="preserve">Importer replaced batch with corrected print run — PAO symbol clearly visible</t>
  </si>
  <si>
    <t xml:space="preserve">DEV030</t>
  </si>
  <si>
    <t xml:space="preserve">PROD179</t>
  </si>
  <si>
    <t xml:space="preserve">Neutrogena Deep Clean Facial</t>
  </si>
  <si>
    <t xml:space="preserve">For external use only. Avoid contact with eyes.</t>
  </si>
  <si>
    <t xml:space="preserve">Warning section blank on India-specific SKU — text missing entirely</t>
  </si>
  <si>
    <t xml:space="preserve">Missing Warning</t>
  </si>
  <si>
    <t xml:space="preserve">2026-01-26</t>
  </si>
  <si>
    <t xml:space="preserve">Rejected — warning statements are mandatory per FDA and CDSCO guidelines</t>
  </si>
  <si>
    <t xml:space="preserve">DEV031</t>
  </si>
  <si>
    <t xml:space="preserve">PROD187</t>
  </si>
  <si>
    <t xml:space="preserve">Johnson's Baby Lotion 500ml</t>
  </si>
  <si>
    <t xml:space="preserve">For external use only. Keep away from eyes.</t>
  </si>
  <si>
    <t xml:space="preserve">Warning text present but font size 4pt — not legible to naked eye</t>
  </si>
  <si>
    <t xml:space="preserve">2026-01-28</t>
  </si>
  <si>
    <t xml:space="preserve">Importer updated to minimum 6pt font for warning text — approved</t>
  </si>
  <si>
    <t xml:space="preserve">DEV032</t>
  </si>
  <si>
    <t xml:space="preserve">PROD077</t>
  </si>
  <si>
    <t xml:space="preserve">Luvlap Baby Rattle Set 5pcs</t>
  </si>
  <si>
    <t xml:space="preserve">SOP018</t>
  </si>
  <si>
    <t xml:space="preserve">Safety warning for choking hazard must be present</t>
  </si>
  <si>
    <t xml:space="preserve">Warning: Choking hazard — small parts. Not for children under 3.</t>
  </si>
  <si>
    <t xml:space="preserve">Choking hazard warning absent from packaging</t>
  </si>
  <si>
    <t xml:space="preserve">Missing Safety Warning</t>
  </si>
  <si>
    <t xml:space="preserve">2026-01-30</t>
  </si>
  <si>
    <t xml:space="preserve">Critical safety deviation — product rejected, seller must add mandatory warning</t>
  </si>
  <si>
    <t xml:space="preserve">DEV033</t>
  </si>
  <si>
    <t xml:space="preserve">PROD079</t>
  </si>
  <si>
    <t xml:space="preserve">Chhota Bheem Action Figure</t>
  </si>
  <si>
    <t xml:space="preserve">SOP017</t>
  </si>
  <si>
    <t xml:space="preserve">Age recommendation must be printed on packaging</t>
  </si>
  <si>
    <t xml:space="preserve">Suitable for ages 3+ printed on front</t>
  </si>
  <si>
    <t xml:space="preserve">Age recommendation sticker peeling off — not permanently printed</t>
  </si>
  <si>
    <t xml:space="preserve">Label Quality Issue</t>
  </si>
  <si>
    <t xml:space="preserve">2026-02-01</t>
  </si>
  <si>
    <t xml:space="preserve">Seller switched to heat-printed age label — approved</t>
  </si>
  <si>
    <t xml:space="preserve">DEV034</t>
  </si>
  <si>
    <t xml:space="preserve">PROD081</t>
  </si>
  <si>
    <t xml:space="preserve">Toyshine Musical Train Toy</t>
  </si>
  <si>
    <t xml:space="preserve">Choking hazard warning in English and Hindi on front panel</t>
  </si>
  <si>
    <t xml:space="preserve">Warning present in English only — Hindi translation missing</t>
  </si>
  <si>
    <t xml:space="preserve">Language Compliance</t>
  </si>
  <si>
    <t xml:space="preserve">2026-02-02</t>
  </si>
  <si>
    <t xml:space="preserve">Seller added Hindi warning text — meets bilingual SOP requirement</t>
  </si>
  <si>
    <t xml:space="preserve">DEV035</t>
  </si>
  <si>
    <t xml:space="preserve">PROD191</t>
  </si>
  <si>
    <t xml:space="preserve">LEGO Star Wars AT-AT 75313</t>
  </si>
  <si>
    <t xml:space="preserve">Denmark</t>
  </si>
  <si>
    <t xml:space="preserve">SOP020</t>
  </si>
  <si>
    <t xml:space="preserve">EN 71 safety standard reference must be on label</t>
  </si>
  <si>
    <t xml:space="preserve">EN 71-1, EN 71-2, EN 71-3 compliance stated on box</t>
  </si>
  <si>
    <t xml:space="preserve">CE mark present but EN 71 standard reference absent from packaging</t>
  </si>
  <si>
    <t xml:space="preserve">Missing Certification Reference</t>
  </si>
  <si>
    <t xml:space="preserve">2026-02-03</t>
  </si>
  <si>
    <t xml:space="preserve">LEGO India added EN 71 compliance statement to India import packaging</t>
  </si>
  <si>
    <t xml:space="preserve">DEV036</t>
  </si>
  <si>
    <t xml:space="preserve">PROD193</t>
  </si>
  <si>
    <t xml:space="preserve">Hot Wheels Monster Truck</t>
  </si>
  <si>
    <t xml:space="preserve">CPSC</t>
  </si>
  <si>
    <t xml:space="preserve">SOP019</t>
  </si>
  <si>
    <t xml:space="preserve">ASTM F963 compliance statement required</t>
  </si>
  <si>
    <t xml:space="preserve">Meets ASTM F963 toy safety standard</t>
  </si>
  <si>
    <t xml:space="preserve">ASTM F963 statement absent — only CPSC tracking label present</t>
  </si>
  <si>
    <t xml:space="preserve">Missing Compliance Statement</t>
  </si>
  <si>
    <t xml:space="preserve">2026-02-04</t>
  </si>
  <si>
    <t xml:space="preserve">Rejected — ASTM F963 statement is mandatory for all toys per CPSC SOP</t>
  </si>
  <si>
    <t xml:space="preserve">DEV037</t>
  </si>
  <si>
    <t xml:space="preserve">PROD196</t>
  </si>
  <si>
    <t xml:space="preserve">Fisher Price Baby Gym Mat</t>
  </si>
  <si>
    <t xml:space="preserve">Choking hazard warning on front panel</t>
  </si>
  <si>
    <t xml:space="preserve">Warning label present on inner packaging only — not visible at point of sale</t>
  </si>
  <si>
    <t xml:space="preserve">2026-02-05</t>
  </si>
  <si>
    <t xml:space="preserve">Escalated — safety warning must be visible at POS per CPSC requirement</t>
  </si>
  <si>
    <t xml:space="preserve">DEV038</t>
  </si>
  <si>
    <t xml:space="preserve">PROD198</t>
  </si>
  <si>
    <t xml:space="preserve">Nerf Elite 2.0 Blaster</t>
  </si>
  <si>
    <t xml:space="preserve">ASTM statement in US version — missing from India import SKU</t>
  </si>
  <si>
    <t xml:space="preserve">Market-Specific Label Missing</t>
  </si>
  <si>
    <t xml:space="preserve">2026-02-06</t>
  </si>
  <si>
    <t xml:space="preserve">Importer added ASTM statement to India SKU packaging — approved</t>
  </si>
  <si>
    <t xml:space="preserve">DEV039</t>
  </si>
  <si>
    <t xml:space="preserve">PROD200</t>
  </si>
  <si>
    <t xml:space="preserve">Rubik's Cube 3x3 Original</t>
  </si>
  <si>
    <t xml:space="preserve">Hungary</t>
  </si>
  <si>
    <t xml:space="preserve">EN 71 reference printed on base of packaging</t>
  </si>
  <si>
    <t xml:space="preserve">EN 71 reference present on EU packaging but absent from India import batch</t>
  </si>
  <si>
    <t xml:space="preserve">2026-02-07</t>
  </si>
  <si>
    <t xml:space="preserve">Distributor updated India batch packaging to include EN 71 reference</t>
  </si>
  <si>
    <t xml:space="preserve">DEV040</t>
  </si>
  <si>
    <t xml:space="preserve">PROD089</t>
  </si>
  <si>
    <t xml:space="preserve">Hawkins Contura Cooker</t>
  </si>
  <si>
    <t xml:space="preserve">SOP021</t>
  </si>
  <si>
    <t xml:space="preserve">ISI mark must be embossed or printed on product</t>
  </si>
  <si>
    <t xml:space="preserve">ISI mark embossed on lid and body</t>
  </si>
  <si>
    <t xml:space="preserve">ISI mark present on packaging only — not on product unit itself</t>
  </si>
  <si>
    <t xml:space="preserve">2026-02-08</t>
  </si>
  <si>
    <t xml:space="preserve">Escalated — ISI must be on product per BIS mandate, not just packaging</t>
  </si>
  <si>
    <t xml:space="preserve">DEV041</t>
  </si>
  <si>
    <t xml:space="preserve">PROD095</t>
  </si>
  <si>
    <t xml:space="preserve">Milton Lunch Box 4 Containers</t>
  </si>
  <si>
    <t xml:space="preserve">SOP022</t>
  </si>
  <si>
    <t xml:space="preserve">Wattage and voltage rating must be visible</t>
  </si>
  <si>
    <t xml:space="preserve">Not applicable — non-electric product, field marked N/A</t>
  </si>
  <si>
    <t xml:space="preserve">Voltage rating field left blank — should be marked N/A for non-electrical items</t>
  </si>
  <si>
    <t xml:space="preserve">Incomplete Documentation</t>
  </si>
  <si>
    <t xml:space="preserve">2026-02-09</t>
  </si>
  <si>
    <t xml:space="preserve">Seller updated product form to mark N/A for electrical fields</t>
  </si>
  <si>
    <t xml:space="preserve">DEV042</t>
  </si>
  <si>
    <t xml:space="preserve">PROD099</t>
  </si>
  <si>
    <t xml:space="preserve">Butterfly Smart Glass Kettle</t>
  </si>
  <si>
    <t xml:space="preserve">1500W, 220-240V printed on base plate</t>
  </si>
  <si>
    <t xml:space="preserve">Wattage printed but voltage range missing — only shows 220V not 220-240V</t>
  </si>
  <si>
    <t xml:space="preserve">2026-02-10</t>
  </si>
  <si>
    <t xml:space="preserve">Seller corrected base plate marking to show full voltage range 220-240V</t>
  </si>
  <si>
    <t xml:space="preserve">DEV043</t>
  </si>
  <si>
    <t xml:space="preserve">PROD104</t>
  </si>
  <si>
    <t xml:space="preserve">Crompton Greaves Water Heater</t>
  </si>
  <si>
    <t xml:space="preserve">ISI mark on body with valid BIS certification number</t>
  </si>
  <si>
    <t xml:space="preserve">ISI mark present but certification number beside it is expired — old BIS number</t>
  </si>
  <si>
    <t xml:space="preserve">Expired Certification</t>
  </si>
  <si>
    <t xml:space="preserve">2026-02-11</t>
  </si>
  <si>
    <t xml:space="preserve">Rejected — expired BIS number found, seller must renew and resubmit</t>
  </si>
  <si>
    <t xml:space="preserve">DEV044</t>
  </si>
  <si>
    <t xml:space="preserve">PROD206</t>
  </si>
  <si>
    <t xml:space="preserve">Tefal Induction Cookware Set</t>
  </si>
  <si>
    <t xml:space="preserve">France</t>
  </si>
  <si>
    <t xml:space="preserve">SOP023</t>
  </si>
  <si>
    <t xml:space="preserve">Declaration of Conformity document must be included</t>
  </si>
  <si>
    <t xml:space="preserve">DoC document in English included in box</t>
  </si>
  <si>
    <t xml:space="preserve">No Declaration of Conformity document found in shipment</t>
  </si>
  <si>
    <t xml:space="preserve">Missing Document</t>
  </si>
  <si>
    <t xml:space="preserve">2026-02-12</t>
  </si>
  <si>
    <t xml:space="preserve">Rejected — DoC is mandatory for CE-Mark products entering Indian market</t>
  </si>
  <si>
    <t xml:space="preserve">DEV045</t>
  </si>
  <si>
    <t xml:space="preserve">PROD209</t>
  </si>
  <si>
    <t xml:space="preserve">OXO Good Grips Kitchen Tools</t>
  </si>
  <si>
    <t xml:space="preserve">SOP024</t>
  </si>
  <si>
    <t xml:space="preserve">Food-safe material certification must be attached</t>
  </si>
  <si>
    <t xml:space="preserve">FDA food-contact material certificate attached</t>
  </si>
  <si>
    <t xml:space="preserve">Food-safe certificate referenced in docs but physical copy not attached</t>
  </si>
  <si>
    <t xml:space="preserve">2026-02-13</t>
  </si>
  <si>
    <t xml:space="preserve">Seller emailed physical certificate — attached to product file, approved</t>
  </si>
  <si>
    <t xml:space="preserve">DEV046</t>
  </si>
  <si>
    <t xml:space="preserve">PROD213</t>
  </si>
  <si>
    <t xml:space="preserve">Dyson V11 Vacuum Cleaner</t>
  </si>
  <si>
    <t xml:space="preserve">DoC document in English, current version</t>
  </si>
  <si>
    <t xml:space="preserve">DoC document present but dated 2021 — product model updated in 2023</t>
  </si>
  <si>
    <t xml:space="preserve">Outdated Document</t>
  </si>
  <si>
    <t xml:space="preserve">2026-02-14</t>
  </si>
  <si>
    <t xml:space="preserve">Escalated — DoC must match current product version, Dyson India contacted</t>
  </si>
  <si>
    <t xml:space="preserve">DEV047</t>
  </si>
  <si>
    <t xml:space="preserve">PROD214</t>
  </si>
  <si>
    <t xml:space="preserve">Philips Daily Collection Kettle</t>
  </si>
  <si>
    <t xml:space="preserve">Netherlands</t>
  </si>
  <si>
    <t xml:space="preserve">2400W, 220-240V on base plate</t>
  </si>
  <si>
    <t xml:space="preserve">Wattage label on base plate damaged and unreadable on received batch</t>
  </si>
  <si>
    <t xml:space="preserve">2026-02-15</t>
  </si>
  <si>
    <t xml:space="preserve">Rejected — damaged wattage label fails BIS visibility requirement, new batch requested</t>
  </si>
  <si>
    <t xml:space="preserve">DEV048</t>
  </si>
  <si>
    <t xml:space="preserve">PROD215</t>
  </si>
  <si>
    <t xml:space="preserve">iRobot Roomba Vacuum Robot</t>
  </si>
  <si>
    <t xml:space="preserve">FCC ID printed on underside of device</t>
  </si>
  <si>
    <t xml:space="preserve">FCC ID label present but covered by foam padding inside packaging on all units</t>
  </si>
  <si>
    <t xml:space="preserve">2026-02-16</t>
  </si>
  <si>
    <t xml:space="preserve">Importer removed foam layer covering FCC label — re-inspection cleared</t>
  </si>
  <si>
    <t xml:space="preserve">DEV049</t>
  </si>
  <si>
    <t xml:space="preserve">PROD101</t>
  </si>
  <si>
    <t xml:space="preserve">Inalsa Mixer Grinder Astra</t>
  </si>
  <si>
    <t xml:space="preserve">ISI mark on motor body</t>
  </si>
  <si>
    <t xml:space="preserve">ISI mark on body but no certification number alongside it</t>
  </si>
  <si>
    <t xml:space="preserve">2026-02-17</t>
  </si>
  <si>
    <t xml:space="preserve">Seller asked to confirm BIS certification number for the ISI mark on file</t>
  </si>
  <si>
    <t xml:space="preserve">DEV050</t>
  </si>
  <si>
    <t xml:space="preserve">PROD033</t>
  </si>
  <si>
    <t xml:space="preserve">Everest Turmeric Powder 200g</t>
  </si>
  <si>
    <t xml:space="preserve">Full nutritional table per 100g serving</t>
  </si>
  <si>
    <t xml:space="preserve">Nutritional table present but values given per 5g serving only — FSSAI requires per 100g</t>
  </si>
  <si>
    <t xml:space="preserve">Wrong Serving Size Reference</t>
  </si>
  <si>
    <t xml:space="preserve">Seller informed to reprint nutritional table with per 100g values as required</t>
  </si>
  <si>
    <t xml:space="preserve">Standard Operating Procedure (SOP) Rules Reference</t>
  </si>
  <si>
    <t xml:space="preserve">Reg. Document</t>
  </si>
  <si>
    <t xml:space="preserve">Rule — What Must Be Checked</t>
  </si>
  <si>
    <t xml:space="preserve">SOP006</t>
  </si>
  <si>
    <t xml:space="preserve">CE marking must be minimum 5mm height</t>
  </si>
  <si>
    <t xml:space="preserve">High Severity — Not Yet Resolved (18 items)</t>
  </si>
  <si>
    <t xml:space="preserve">SQL Queries — SOP Deviation Tracker</t>
  </si>
  <si>
    <t xml:space="preserve">#</t>
  </si>
  <si>
    <t xml:space="preserve">Description</t>
  </si>
  <si>
    <t xml:space="preserve">SQL Query</t>
  </si>
  <si>
    <t xml:space="preserve">1</t>
  </si>
  <si>
    <t xml:space="preserve">View all deviations</t>
  </si>
  <si>
    <t xml:space="preserve">SELECT * FROM deviation_log;</t>
  </si>
  <si>
    <t xml:space="preserve">2</t>
  </si>
  <si>
    <t xml:space="preserve">Count by status</t>
  </si>
  <si>
    <t xml:space="preserve">SELECT Status, COUNT(*) as Count FROM deviation_log GROUP BY Status ORDER BY Count DESC;</t>
  </si>
  <si>
    <t xml:space="preserve">3</t>
  </si>
  <si>
    <t xml:space="preserve">All High severity items</t>
  </si>
  <si>
    <t xml:space="preserve">SELECT Log_ID, Product_Name, Deviation_Type, Status
FROM deviation_log WHERE Severity = 'High';</t>
  </si>
  <si>
    <t xml:space="preserve">4</t>
  </si>
  <si>
    <t xml:space="preserve">Open high-priority items</t>
  </si>
  <si>
    <t xml:space="preserve">SELECT Log_ID, Product_Name, Deviation_Type, Reviewer_Name
FROM deviation_log
WHERE Severity = 'High' AND Status != 'Resolved'
ORDER BY Date_Logged;</t>
  </si>
  <si>
    <t xml:space="preserve">5</t>
  </si>
  <si>
    <t xml:space="preserve">All escalated deviations</t>
  </si>
  <si>
    <t xml:space="preserve">SELECT Log_ID, Product_Name, SOP_Rule, Action_Taken
FROM deviation_log WHERE Status = 'Escalated';</t>
  </si>
  <si>
    <t xml:space="preserve">6</t>
  </si>
  <si>
    <t xml:space="preserve">All rejected products</t>
  </si>
  <si>
    <t xml:space="preserve">SELECT Product_Name, Deviation_Type, Actual_Finding
FROM deviation_log WHERE Status = 'Rejected';</t>
  </si>
  <si>
    <t xml:space="preserve">7</t>
  </si>
  <si>
    <t xml:space="preserve">Count by category</t>
  </si>
  <si>
    <t xml:space="preserve">SELECT Category, COUNT(*) as Total
FROM deviation_log GROUP BY Category ORDER BY Total DESC;</t>
  </si>
  <si>
    <t xml:space="preserve">8</t>
  </si>
  <si>
    <t xml:space="preserve">Most common deviation types</t>
  </si>
  <si>
    <t xml:space="preserve">SELECT Deviation_Type, COUNT(*) as Count
FROM deviation_log GROUP BY Deviation_Type ORDER BY Count DESC;</t>
  </si>
  <si>
    <t xml:space="preserve">9</t>
  </si>
  <si>
    <t xml:space="preserve">Reviewer workload</t>
  </si>
  <si>
    <t xml:space="preserve">SELECT Reviewer_Name, COUNT(*) as Total,
  SUM(CASE WHEN Status='Resolved' THEN 1 ELSE 0 END) as Resolved,
  SUM(CASE WHEN Status='Rejected' THEN 1 ELSE 0 END) as Rejected,
  SUM(CASE WHEN Status='Escalated' THEN 1 ELSE 0 END) as Escalated
FROM deviation_log GROUP BY Reviewer_Name;</t>
  </si>
  <si>
    <t xml:space="preserve">10</t>
  </si>
  <si>
    <t xml:space="preserve">Food safety violations</t>
  </si>
  <si>
    <t xml:space="preserve">SELECT Log_ID, Product_Name, SOP_Rule, Actual_Finding
FROM deviation_log
WHERE Category = 'Food &amp; Beverages' AND Severity = 'High';</t>
  </si>
  <si>
    <t xml:space="preserve">11</t>
  </si>
  <si>
    <t xml:space="preserve">Missing information cases</t>
  </si>
  <si>
    <t xml:space="preserve">SELECT Product_Name, Expected_Finding, Actual_Finding
FROM deviation_log WHERE Deviation_Type = 'Missing Information';</t>
  </si>
  <si>
    <t xml:space="preserve">12</t>
  </si>
  <si>
    <t xml:space="preserve">SOP rules for a category</t>
  </si>
  <si>
    <t xml:space="preserve">SELECT SOP_ID, Rule_Description
FROM sop_rules WHERE Category = 'Cosmetics';</t>
  </si>
  <si>
    <t xml:space="preserve">13</t>
  </si>
  <si>
    <t xml:space="preserve">JOIN: deviations with SOP rules</t>
  </si>
  <si>
    <t xml:space="preserve">SELECT d.Product_Name, d.Deviation_Type, s.Rule_Description, d.Status
FROM deviation_log d
JOIN sop_rules s ON d.SOP_ID = s.SOP_ID
WHERE d.Severity = 'High'
ORDER BY d.Date_Logged;</t>
  </si>
  <si>
    <t xml:space="preserve">14</t>
  </si>
  <si>
    <t xml:space="preserve">Most violated SOP rules</t>
  </si>
  <si>
    <t xml:space="preserve">SELECT SOP_ID, COUNT(*) as Violations
FROM deviation_log
GROUP BY SOP_ID ORDER BY Violations DESC;</t>
  </si>
  <si>
    <t xml:space="preserve">15</t>
  </si>
  <si>
    <t xml:space="preserve">Deviations by reviewer and status</t>
  </si>
  <si>
    <t xml:space="preserve">SELECT Reviewer_Name, Status, COUNT(*) as Count
FROM deviation_log
GROUP BY Reviewer_Name, Status
ORDER BY Reviewer_Name, Count DESC;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</si>
</sst>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b val="true"/>
      <sz val="10"/>
      <color rgb="FFED7D31"/>
      <name val="Cambria"/>
      <family val="0"/>
      <charset val="1"/>
    </font>
    <font>
      <b val="true"/>
      <sz val="10"/>
      <color rgb="FF70AD47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0"/>
      <color rgb="FF006100"/>
      <name val="Cambria"/>
      <family val="0"/>
      <charset val="1"/>
    </font>
    <font>
      <b val="true"/>
      <sz val="10"/>
      <color rgb="FF7F4000"/>
      <name val="Cambria"/>
      <family val="0"/>
      <charset val="1"/>
    </font>
    <font>
      <b val="true"/>
      <sz val="10"/>
      <color rgb="FF9C0006"/>
      <name val="Cambria"/>
      <family val="0"/>
      <charset val="1"/>
    </font>
    <font>
      <b val="true"/>
      <sz val="10"/>
      <color rgb="FF9C57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sz val="10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17346"/>
        <bgColor rgb="FF008080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FF8080"/>
      </patternFill>
    </fill>
    <fill>
      <patternFill patternType="solid">
        <fgColor rgb="FF7F7F7F"/>
        <bgColor rgb="FF70AD47"/>
      </patternFill>
    </fill>
    <fill>
      <patternFill patternType="solid">
        <fgColor rgb="FFFF0000"/>
        <bgColor rgb="FFC00000"/>
      </patternFill>
    </fill>
    <fill>
      <patternFill patternType="solid">
        <fgColor rgb="FFC6EFCE"/>
        <bgColor rgb="FFE2EFDA"/>
      </patternFill>
    </fill>
    <fill>
      <patternFill patternType="solid">
        <fgColor rgb="FFFFD9B3"/>
        <bgColor rgb="FFFCE4D6"/>
      </patternFill>
    </fill>
    <fill>
      <patternFill patternType="solid">
        <fgColor rgb="FFFFC7CE"/>
        <bgColor rgb="FFEAD1DC"/>
      </patternFill>
    </fill>
    <fill>
      <patternFill patternType="solid">
        <fgColor rgb="FFFFEB9C"/>
        <bgColor rgb="FFFFD9B3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FC7CE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217346"/>
      <rgbColor rgb="FFCCCCCC"/>
      <rgbColor rgb="FF7F7F7F"/>
      <rgbColor rgb="FF9999FF"/>
      <rgbColor rgb="FF993366"/>
      <rgbColor rgb="FFFFF2CC"/>
      <rgbColor rgb="FFDEEAF1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FEB9C"/>
      <rgbColor rgb="FFFCE4D6"/>
      <rgbColor rgb="FFFFC7CE"/>
      <rgbColor rgb="FFF5F5F5"/>
      <rgbColor rgb="FFFFD9B3"/>
      <rgbColor rgb="FF3366FF"/>
      <rgbColor rgb="FF33CCCC"/>
      <rgbColor rgb="FF99CC00"/>
      <rgbColor rgb="FFFFCC00"/>
      <rgbColor rgb="FFFF9900"/>
      <rgbColor rgb="FFED7D31"/>
      <rgbColor rgb="FF555555"/>
      <rgbColor rgb="FF70AD47"/>
      <rgbColor rgb="FF003366"/>
      <rgbColor rgb="FF339966"/>
      <rgbColor rgb="FF003300"/>
      <rgbColor rgb="FF333300"/>
      <rgbColor rgb="FF7F40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2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1.5" hidden="false" customHeight="true" outlineLevel="0" collapsed="false">
      <c r="A5" s="4" t="n">
        <f aca="false">COUNTA('Deviation Log'!A2:A1000)</f>
        <v>50</v>
      </c>
      <c r="B5" s="5" t="n">
        <f aca="false">COUNTIF('Deviation Log'!N2:N1000,"Resolved")</f>
        <v>0</v>
      </c>
      <c r="C5" s="6" t="n">
        <f aca="false">COUNTIF('Deviation Log'!N2:N1000,"Rejected")</f>
        <v>0</v>
      </c>
      <c r="D5" s="7" t="n">
        <f aca="false">COUNTIF('Deviation Log'!N2:N1000,"Escalated")</f>
        <v>0</v>
      </c>
      <c r="E5" s="8" t="n">
        <f aca="false">COUNTIF('Deviation Log'!N2:N1000,"Pending Review")</f>
        <v>0</v>
      </c>
      <c r="F5" s="9" t="n">
        <f aca="false">COUNTIF('Deviation Log'!L2:L1000,"High")</f>
        <v>23</v>
      </c>
    </row>
    <row r="7" customFormat="false" ht="15" hidden="false" customHeight="false" outlineLevel="0" collapsed="false">
      <c r="A7" s="10" t="s">
        <v>8</v>
      </c>
      <c r="E7" s="10" t="s">
        <v>9</v>
      </c>
    </row>
    <row r="8" customFormat="false" ht="15" hidden="false" customHeight="false" outlineLevel="0" collapsed="false">
      <c r="A8" s="11" t="s">
        <v>10</v>
      </c>
      <c r="B8" s="12" t="n">
        <f aca="false">COUNTIF('Deviation Log'!D2:D1000,"Electronics")</f>
        <v>11</v>
      </c>
      <c r="E8" s="13" t="s">
        <v>11</v>
      </c>
      <c r="F8" s="12" t="n">
        <f aca="false">COUNTIF('Deviation Log'!L2:L1000,"High")</f>
        <v>23</v>
      </c>
    </row>
    <row r="9" customFormat="false" ht="15" hidden="false" customHeight="false" outlineLevel="0" collapsed="false">
      <c r="A9" s="11" t="s">
        <v>12</v>
      </c>
      <c r="B9" s="12" t="n">
        <f aca="false">COUNTIF('Deviation Log'!D2:D1000,"Food &amp; Beverages")</f>
        <v>11</v>
      </c>
      <c r="E9" s="14" t="s">
        <v>13</v>
      </c>
      <c r="F9" s="12" t="n">
        <f aca="false">COUNTIF('Deviation Log'!L2:L1000,"Medium")</f>
        <v>22</v>
      </c>
    </row>
    <row r="10" customFormat="false" ht="15" hidden="false" customHeight="false" outlineLevel="0" collapsed="false">
      <c r="A10" s="11" t="s">
        <v>14</v>
      </c>
      <c r="B10" s="12" t="n">
        <f aca="false">COUNTIF('Deviation Log'!D2:D1000,"Cosmetics")</f>
        <v>10</v>
      </c>
      <c r="E10" s="15" t="s">
        <v>15</v>
      </c>
      <c r="F10" s="12" t="n">
        <f aca="false">COUNTIF('Deviation Log'!L2:L1000,"Low")</f>
        <v>5</v>
      </c>
    </row>
    <row r="11" customFormat="false" ht="15" hidden="false" customHeight="false" outlineLevel="0" collapsed="false">
      <c r="A11" s="11" t="s">
        <v>16</v>
      </c>
      <c r="B11" s="12" t="n">
        <f aca="false">COUNTIF('Deviation Log'!D2:D1000,"Toys")</f>
        <v>8</v>
      </c>
    </row>
    <row r="12" customFormat="false" ht="15" hidden="false" customHeight="false" outlineLevel="0" collapsed="false">
      <c r="A12" s="11" t="s">
        <v>17</v>
      </c>
      <c r="B12" s="12" t="n">
        <f aca="false">COUNTIF('Deviation Log'!D2:D1000,"Home &amp; Kitchen")</f>
        <v>10</v>
      </c>
    </row>
    <row r="14" customFormat="false" ht="15" hidden="false" customHeight="false" outlineLevel="0" collapsed="false">
      <c r="A14" s="10" t="s">
        <v>18</v>
      </c>
    </row>
    <row r="15" customFormat="false" ht="15" hidden="false" customHeight="false" outlineLevel="0" collapsed="false">
      <c r="A15" s="16" t="s">
        <v>19</v>
      </c>
      <c r="B15" s="12" t="n">
        <f aca="false">COUNTIF('Deviation Log'!M2:M1000,"Anu")</f>
        <v>10</v>
      </c>
    </row>
    <row r="16" customFormat="false" ht="15" hidden="false" customHeight="false" outlineLevel="0" collapsed="false">
      <c r="A16" s="16" t="s">
        <v>20</v>
      </c>
      <c r="B16" s="12" t="n">
        <f aca="false">COUNTIF('Deviation Log'!M2:M1000,"Joel")</f>
        <v>10</v>
      </c>
    </row>
    <row r="17" customFormat="false" ht="15" hidden="false" customHeight="false" outlineLevel="0" collapsed="false">
      <c r="A17" s="16" t="s">
        <v>21</v>
      </c>
      <c r="B17" s="12" t="n">
        <f aca="false">COUNTIF('Deviation Log'!M2:M1000,"April")</f>
        <v>10</v>
      </c>
    </row>
    <row r="18" customFormat="false" ht="15" hidden="false" customHeight="false" outlineLevel="0" collapsed="false">
      <c r="A18" s="16" t="s">
        <v>22</v>
      </c>
      <c r="B18" s="12" t="n">
        <f aca="false">COUNTIF('Deviation Log'!M2:M1000,"Autumn")</f>
        <v>10</v>
      </c>
    </row>
    <row r="19" customFormat="false" ht="15" hidden="false" customHeight="false" outlineLevel="0" collapsed="false">
      <c r="A19" s="16" t="s">
        <v>23</v>
      </c>
      <c r="B19" s="12" t="n">
        <f aca="false">COUNTIF('Deviation Log'!M2:M1000,"Atlas")</f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38"/>
    <col collapsed="false" customWidth="true" hidden="false" outlineLevel="0" max="11" min="11" style="0" width="24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42"/>
  </cols>
  <sheetData>
    <row r="1" customFormat="false" ht="36" hidden="false" customHeight="true" outlineLevel="0" collapsed="false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  <c r="F1" s="17" t="s">
        <v>29</v>
      </c>
      <c r="G1" s="17" t="s">
        <v>30</v>
      </c>
      <c r="H1" s="17" t="s">
        <v>31</v>
      </c>
      <c r="I1" s="17" t="s">
        <v>32</v>
      </c>
      <c r="J1" s="17" t="s">
        <v>33</v>
      </c>
      <c r="K1" s="17" t="s">
        <v>34</v>
      </c>
      <c r="L1" s="17" t="s">
        <v>35</v>
      </c>
      <c r="M1" s="17" t="s">
        <v>36</v>
      </c>
      <c r="N1" s="17" t="s">
        <v>37</v>
      </c>
      <c r="O1" s="17" t="s">
        <v>38</v>
      </c>
      <c r="P1" s="17" t="s">
        <v>39</v>
      </c>
    </row>
    <row r="2" customFormat="false" ht="54.75" hidden="false" customHeight="true" outlineLevel="0" collapsed="false">
      <c r="A2" s="18" t="s">
        <v>40</v>
      </c>
      <c r="B2" s="18" t="s">
        <v>41</v>
      </c>
      <c r="C2" s="18" t="s">
        <v>42</v>
      </c>
      <c r="D2" s="18" t="s">
        <v>10</v>
      </c>
      <c r="E2" s="18" t="s">
        <v>43</v>
      </c>
      <c r="F2" s="18" t="s">
        <v>44</v>
      </c>
      <c r="G2" s="18" t="s">
        <v>45</v>
      </c>
      <c r="H2" s="18" t="s">
        <v>46</v>
      </c>
      <c r="I2" s="18" t="s">
        <v>47</v>
      </c>
      <c r="J2" s="18" t="s">
        <v>48</v>
      </c>
      <c r="K2" s="18" t="s">
        <v>49</v>
      </c>
      <c r="L2" s="19" t="s">
        <v>11</v>
      </c>
      <c r="M2" s="18" t="s">
        <v>19</v>
      </c>
      <c r="N2" s="18" t="s">
        <v>50</v>
      </c>
      <c r="O2" s="20" t="s">
        <v>51</v>
      </c>
      <c r="P2" s="18" t="s">
        <v>52</v>
      </c>
    </row>
    <row r="3" customFormat="false" ht="54.75" hidden="false" customHeight="true" outlineLevel="0" collapsed="false">
      <c r="A3" s="18" t="s">
        <v>53</v>
      </c>
      <c r="B3" s="18" t="s">
        <v>54</v>
      </c>
      <c r="C3" s="18" t="s">
        <v>55</v>
      </c>
      <c r="D3" s="18" t="s">
        <v>10</v>
      </c>
      <c r="E3" s="18" t="s">
        <v>43</v>
      </c>
      <c r="F3" s="18" t="s">
        <v>44</v>
      </c>
      <c r="G3" s="18" t="s">
        <v>56</v>
      </c>
      <c r="H3" s="18" t="s">
        <v>57</v>
      </c>
      <c r="I3" s="18" t="s">
        <v>58</v>
      </c>
      <c r="J3" s="18" t="s">
        <v>59</v>
      </c>
      <c r="K3" s="18" t="s">
        <v>60</v>
      </c>
      <c r="L3" s="19" t="s">
        <v>11</v>
      </c>
      <c r="M3" s="18" t="s">
        <v>20</v>
      </c>
      <c r="N3" s="18" t="s">
        <v>61</v>
      </c>
      <c r="O3" s="21" t="s">
        <v>62</v>
      </c>
      <c r="P3" s="18" t="s">
        <v>63</v>
      </c>
    </row>
    <row r="4" customFormat="false" ht="54.75" hidden="false" customHeight="true" outlineLevel="0" collapsed="false">
      <c r="A4" s="18" t="s">
        <v>64</v>
      </c>
      <c r="B4" s="18" t="s">
        <v>65</v>
      </c>
      <c r="C4" s="18" t="s">
        <v>66</v>
      </c>
      <c r="D4" s="18" t="s">
        <v>10</v>
      </c>
      <c r="E4" s="18" t="s">
        <v>43</v>
      </c>
      <c r="F4" s="18" t="s">
        <v>44</v>
      </c>
      <c r="G4" s="18" t="s">
        <v>67</v>
      </c>
      <c r="H4" s="18" t="s">
        <v>68</v>
      </c>
      <c r="I4" s="18" t="s">
        <v>69</v>
      </c>
      <c r="J4" s="18" t="s">
        <v>70</v>
      </c>
      <c r="K4" s="18" t="s">
        <v>71</v>
      </c>
      <c r="L4" s="19" t="s">
        <v>11</v>
      </c>
      <c r="M4" s="18" t="s">
        <v>21</v>
      </c>
      <c r="N4" s="18" t="s">
        <v>72</v>
      </c>
      <c r="O4" s="20" t="s">
        <v>51</v>
      </c>
      <c r="P4" s="18" t="s">
        <v>73</v>
      </c>
    </row>
    <row r="5" customFormat="false" ht="54.75" hidden="false" customHeight="true" outlineLevel="0" collapsed="false">
      <c r="A5" s="18" t="s">
        <v>74</v>
      </c>
      <c r="B5" s="18" t="s">
        <v>75</v>
      </c>
      <c r="C5" s="18" t="s">
        <v>76</v>
      </c>
      <c r="D5" s="18" t="s">
        <v>10</v>
      </c>
      <c r="E5" s="18" t="s">
        <v>43</v>
      </c>
      <c r="F5" s="18" t="s">
        <v>44</v>
      </c>
      <c r="G5" s="18" t="s">
        <v>45</v>
      </c>
      <c r="H5" s="18" t="s">
        <v>46</v>
      </c>
      <c r="I5" s="18" t="s">
        <v>77</v>
      </c>
      <c r="J5" s="18" t="s">
        <v>78</v>
      </c>
      <c r="K5" s="18" t="s">
        <v>79</v>
      </c>
      <c r="L5" s="22" t="s">
        <v>13</v>
      </c>
      <c r="M5" s="18" t="s">
        <v>22</v>
      </c>
      <c r="N5" s="18" t="s">
        <v>80</v>
      </c>
      <c r="O5" s="23" t="s">
        <v>81</v>
      </c>
      <c r="P5" s="18" t="s">
        <v>82</v>
      </c>
    </row>
    <row r="6" customFormat="false" ht="54.75" hidden="false" customHeight="true" outlineLevel="0" collapsed="false">
      <c r="A6" s="18" t="s">
        <v>83</v>
      </c>
      <c r="B6" s="18" t="s">
        <v>84</v>
      </c>
      <c r="C6" s="18" t="s">
        <v>85</v>
      </c>
      <c r="D6" s="18" t="s">
        <v>10</v>
      </c>
      <c r="E6" s="18" t="s">
        <v>43</v>
      </c>
      <c r="F6" s="18" t="s">
        <v>44</v>
      </c>
      <c r="G6" s="18" t="s">
        <v>56</v>
      </c>
      <c r="H6" s="18" t="s">
        <v>57</v>
      </c>
      <c r="I6" s="18" t="s">
        <v>86</v>
      </c>
      <c r="J6" s="18" t="s">
        <v>87</v>
      </c>
      <c r="K6" s="18" t="s">
        <v>88</v>
      </c>
      <c r="L6" s="22" t="s">
        <v>13</v>
      </c>
      <c r="M6" s="18" t="s">
        <v>23</v>
      </c>
      <c r="N6" s="18" t="s">
        <v>89</v>
      </c>
      <c r="O6" s="20" t="s">
        <v>51</v>
      </c>
      <c r="P6" s="18" t="s">
        <v>90</v>
      </c>
    </row>
    <row r="7" customFormat="false" ht="54.75" hidden="false" customHeight="true" outlineLevel="0" collapsed="false">
      <c r="A7" s="18" t="s">
        <v>91</v>
      </c>
      <c r="B7" s="18" t="s">
        <v>92</v>
      </c>
      <c r="C7" s="18" t="s">
        <v>93</v>
      </c>
      <c r="D7" s="18" t="s">
        <v>10</v>
      </c>
      <c r="E7" s="18" t="s">
        <v>43</v>
      </c>
      <c r="F7" s="18" t="s">
        <v>44</v>
      </c>
      <c r="G7" s="18" t="s">
        <v>67</v>
      </c>
      <c r="H7" s="18" t="s">
        <v>68</v>
      </c>
      <c r="I7" s="18" t="s">
        <v>94</v>
      </c>
      <c r="J7" s="18" t="s">
        <v>95</v>
      </c>
      <c r="K7" s="18" t="s">
        <v>96</v>
      </c>
      <c r="L7" s="24" t="s">
        <v>15</v>
      </c>
      <c r="M7" s="18" t="s">
        <v>19</v>
      </c>
      <c r="N7" s="18" t="s">
        <v>97</v>
      </c>
      <c r="O7" s="25" t="s">
        <v>98</v>
      </c>
      <c r="P7" s="18" t="s">
        <v>99</v>
      </c>
    </row>
    <row r="8" customFormat="false" ht="54.75" hidden="false" customHeight="true" outlineLevel="0" collapsed="false">
      <c r="A8" s="18" t="s">
        <v>100</v>
      </c>
      <c r="B8" s="18" t="s">
        <v>101</v>
      </c>
      <c r="C8" s="18" t="s">
        <v>102</v>
      </c>
      <c r="D8" s="18" t="s">
        <v>10</v>
      </c>
      <c r="E8" s="18" t="s">
        <v>43</v>
      </c>
      <c r="F8" s="18" t="s">
        <v>44</v>
      </c>
      <c r="G8" s="18" t="s">
        <v>45</v>
      </c>
      <c r="H8" s="18" t="s">
        <v>46</v>
      </c>
      <c r="I8" s="18" t="s">
        <v>103</v>
      </c>
      <c r="J8" s="18" t="s">
        <v>104</v>
      </c>
      <c r="K8" s="18" t="s">
        <v>105</v>
      </c>
      <c r="L8" s="22" t="s">
        <v>13</v>
      </c>
      <c r="M8" s="18" t="s">
        <v>20</v>
      </c>
      <c r="N8" s="18" t="s">
        <v>106</v>
      </c>
      <c r="O8" s="20" t="s">
        <v>51</v>
      </c>
      <c r="P8" s="18" t="s">
        <v>107</v>
      </c>
    </row>
    <row r="9" customFormat="false" ht="54.75" hidden="false" customHeight="true" outlineLevel="0" collapsed="false">
      <c r="A9" s="18" t="s">
        <v>108</v>
      </c>
      <c r="B9" s="18" t="s">
        <v>109</v>
      </c>
      <c r="C9" s="18" t="s">
        <v>110</v>
      </c>
      <c r="D9" s="18" t="s">
        <v>10</v>
      </c>
      <c r="E9" s="18" t="s">
        <v>111</v>
      </c>
      <c r="F9" s="18" t="s">
        <v>112</v>
      </c>
      <c r="G9" s="18" t="s">
        <v>113</v>
      </c>
      <c r="H9" s="18" t="s">
        <v>114</v>
      </c>
      <c r="I9" s="18" t="s">
        <v>115</v>
      </c>
      <c r="J9" s="18" t="s">
        <v>116</v>
      </c>
      <c r="K9" s="18" t="s">
        <v>117</v>
      </c>
      <c r="L9" s="19" t="s">
        <v>11</v>
      </c>
      <c r="M9" s="18" t="s">
        <v>21</v>
      </c>
      <c r="N9" s="18" t="s">
        <v>118</v>
      </c>
      <c r="O9" s="21" t="s">
        <v>62</v>
      </c>
      <c r="P9" s="18" t="s">
        <v>119</v>
      </c>
    </row>
    <row r="10" customFormat="false" ht="54.75" hidden="false" customHeight="true" outlineLevel="0" collapsed="false">
      <c r="A10" s="18" t="s">
        <v>120</v>
      </c>
      <c r="B10" s="18" t="s">
        <v>121</v>
      </c>
      <c r="C10" s="18" t="s">
        <v>122</v>
      </c>
      <c r="D10" s="18" t="s">
        <v>10</v>
      </c>
      <c r="E10" s="18" t="s">
        <v>111</v>
      </c>
      <c r="F10" s="18" t="s">
        <v>112</v>
      </c>
      <c r="G10" s="18" t="s">
        <v>123</v>
      </c>
      <c r="H10" s="18" t="s">
        <v>124</v>
      </c>
      <c r="I10" s="18" t="s">
        <v>125</v>
      </c>
      <c r="J10" s="18" t="s">
        <v>126</v>
      </c>
      <c r="K10" s="18" t="s">
        <v>127</v>
      </c>
      <c r="L10" s="22" t="s">
        <v>13</v>
      </c>
      <c r="M10" s="18" t="s">
        <v>22</v>
      </c>
      <c r="N10" s="18" t="s">
        <v>128</v>
      </c>
      <c r="O10" s="25" t="s">
        <v>98</v>
      </c>
      <c r="P10" s="18" t="s">
        <v>129</v>
      </c>
    </row>
    <row r="11" customFormat="false" ht="54.75" hidden="false" customHeight="true" outlineLevel="0" collapsed="false">
      <c r="A11" s="18" t="s">
        <v>130</v>
      </c>
      <c r="B11" s="18" t="s">
        <v>131</v>
      </c>
      <c r="C11" s="18" t="s">
        <v>132</v>
      </c>
      <c r="D11" s="18" t="s">
        <v>10</v>
      </c>
      <c r="E11" s="18" t="s">
        <v>133</v>
      </c>
      <c r="F11" s="18" t="s">
        <v>112</v>
      </c>
      <c r="G11" s="18" t="s">
        <v>123</v>
      </c>
      <c r="H11" s="18" t="s">
        <v>124</v>
      </c>
      <c r="I11" s="18" t="s">
        <v>134</v>
      </c>
      <c r="J11" s="18" t="s">
        <v>135</v>
      </c>
      <c r="K11" s="18" t="s">
        <v>136</v>
      </c>
      <c r="L11" s="19" t="s">
        <v>11</v>
      </c>
      <c r="M11" s="18" t="s">
        <v>23</v>
      </c>
      <c r="N11" s="18" t="s">
        <v>137</v>
      </c>
      <c r="O11" s="20" t="s">
        <v>51</v>
      </c>
      <c r="P11" s="18" t="s">
        <v>138</v>
      </c>
    </row>
    <row r="12" customFormat="false" ht="54.75" hidden="false" customHeight="true" outlineLevel="0" collapsed="false">
      <c r="A12" s="18" t="s">
        <v>139</v>
      </c>
      <c r="B12" s="18" t="s">
        <v>140</v>
      </c>
      <c r="C12" s="18" t="s">
        <v>141</v>
      </c>
      <c r="D12" s="18" t="s">
        <v>10</v>
      </c>
      <c r="E12" s="18" t="s">
        <v>111</v>
      </c>
      <c r="F12" s="18" t="s">
        <v>112</v>
      </c>
      <c r="G12" s="18" t="s">
        <v>113</v>
      </c>
      <c r="H12" s="18" t="s">
        <v>114</v>
      </c>
      <c r="I12" s="18" t="s">
        <v>142</v>
      </c>
      <c r="J12" s="18" t="s">
        <v>143</v>
      </c>
      <c r="K12" s="18" t="s">
        <v>144</v>
      </c>
      <c r="L12" s="22" t="s">
        <v>13</v>
      </c>
      <c r="M12" s="18" t="s">
        <v>19</v>
      </c>
      <c r="N12" s="18" t="s">
        <v>145</v>
      </c>
      <c r="O12" s="20" t="s">
        <v>51</v>
      </c>
      <c r="P12" s="18" t="s">
        <v>146</v>
      </c>
    </row>
    <row r="13" customFormat="false" ht="54.75" hidden="false" customHeight="true" outlineLevel="0" collapsed="false">
      <c r="A13" s="18" t="s">
        <v>147</v>
      </c>
      <c r="B13" s="18" t="s">
        <v>148</v>
      </c>
      <c r="C13" s="18" t="s">
        <v>149</v>
      </c>
      <c r="D13" s="18" t="s">
        <v>12</v>
      </c>
      <c r="E13" s="18" t="s">
        <v>43</v>
      </c>
      <c r="F13" s="18" t="s">
        <v>150</v>
      </c>
      <c r="G13" s="18" t="s">
        <v>151</v>
      </c>
      <c r="H13" s="18" t="s">
        <v>152</v>
      </c>
      <c r="I13" s="18" t="s">
        <v>153</v>
      </c>
      <c r="J13" s="18" t="s">
        <v>154</v>
      </c>
      <c r="K13" s="18" t="s">
        <v>155</v>
      </c>
      <c r="L13" s="22" t="s">
        <v>13</v>
      </c>
      <c r="M13" s="18" t="s">
        <v>20</v>
      </c>
      <c r="N13" s="18" t="s">
        <v>156</v>
      </c>
      <c r="O13" s="20" t="s">
        <v>51</v>
      </c>
      <c r="P13" s="18" t="s">
        <v>157</v>
      </c>
    </row>
    <row r="14" customFormat="false" ht="54.75" hidden="false" customHeight="true" outlineLevel="0" collapsed="false">
      <c r="A14" s="18" t="s">
        <v>158</v>
      </c>
      <c r="B14" s="18" t="s">
        <v>159</v>
      </c>
      <c r="C14" s="18" t="s">
        <v>160</v>
      </c>
      <c r="D14" s="18" t="s">
        <v>12</v>
      </c>
      <c r="E14" s="18" t="s">
        <v>43</v>
      </c>
      <c r="F14" s="18" t="s">
        <v>150</v>
      </c>
      <c r="G14" s="18" t="s">
        <v>161</v>
      </c>
      <c r="H14" s="18" t="s">
        <v>162</v>
      </c>
      <c r="I14" s="18" t="s">
        <v>163</v>
      </c>
      <c r="J14" s="18" t="s">
        <v>164</v>
      </c>
      <c r="K14" s="18" t="s">
        <v>165</v>
      </c>
      <c r="L14" s="19" t="s">
        <v>11</v>
      </c>
      <c r="M14" s="18" t="s">
        <v>21</v>
      </c>
      <c r="N14" s="18" t="s">
        <v>166</v>
      </c>
      <c r="O14" s="21" t="s">
        <v>62</v>
      </c>
      <c r="P14" s="18" t="s">
        <v>167</v>
      </c>
    </row>
    <row r="15" customFormat="false" ht="54.75" hidden="false" customHeight="true" outlineLevel="0" collapsed="false">
      <c r="A15" s="18" t="s">
        <v>168</v>
      </c>
      <c r="B15" s="18" t="s">
        <v>169</v>
      </c>
      <c r="C15" s="18" t="s">
        <v>170</v>
      </c>
      <c r="D15" s="18" t="s">
        <v>12</v>
      </c>
      <c r="E15" s="18" t="s">
        <v>43</v>
      </c>
      <c r="F15" s="18" t="s">
        <v>150</v>
      </c>
      <c r="G15" s="18" t="s">
        <v>171</v>
      </c>
      <c r="H15" s="18" t="s">
        <v>172</v>
      </c>
      <c r="I15" s="18" t="s">
        <v>173</v>
      </c>
      <c r="J15" s="18" t="s">
        <v>174</v>
      </c>
      <c r="K15" s="18" t="s">
        <v>175</v>
      </c>
      <c r="L15" s="19" t="s">
        <v>11</v>
      </c>
      <c r="M15" s="18" t="s">
        <v>22</v>
      </c>
      <c r="N15" s="18" t="s">
        <v>176</v>
      </c>
      <c r="O15" s="23" t="s">
        <v>81</v>
      </c>
      <c r="P15" s="18" t="s">
        <v>177</v>
      </c>
    </row>
    <row r="16" customFormat="false" ht="54.75" hidden="false" customHeight="true" outlineLevel="0" collapsed="false">
      <c r="A16" s="18" t="s">
        <v>178</v>
      </c>
      <c r="B16" s="18" t="s">
        <v>179</v>
      </c>
      <c r="C16" s="18" t="s">
        <v>180</v>
      </c>
      <c r="D16" s="18" t="s">
        <v>12</v>
      </c>
      <c r="E16" s="18" t="s">
        <v>43</v>
      </c>
      <c r="F16" s="18" t="s">
        <v>150</v>
      </c>
      <c r="G16" s="18" t="s">
        <v>181</v>
      </c>
      <c r="H16" s="18" t="s">
        <v>182</v>
      </c>
      <c r="I16" s="18" t="s">
        <v>183</v>
      </c>
      <c r="J16" s="18" t="s">
        <v>184</v>
      </c>
      <c r="K16" s="18" t="s">
        <v>49</v>
      </c>
      <c r="L16" s="22" t="s">
        <v>13</v>
      </c>
      <c r="M16" s="18" t="s">
        <v>23</v>
      </c>
      <c r="N16" s="18" t="s">
        <v>185</v>
      </c>
      <c r="O16" s="20" t="s">
        <v>51</v>
      </c>
      <c r="P16" s="18" t="s">
        <v>186</v>
      </c>
    </row>
    <row r="17" customFormat="false" ht="54.75" hidden="false" customHeight="true" outlineLevel="0" collapsed="false">
      <c r="A17" s="18" t="s">
        <v>187</v>
      </c>
      <c r="B17" s="18" t="s">
        <v>188</v>
      </c>
      <c r="C17" s="18" t="s">
        <v>189</v>
      </c>
      <c r="D17" s="18" t="s">
        <v>12</v>
      </c>
      <c r="E17" s="18" t="s">
        <v>43</v>
      </c>
      <c r="F17" s="18" t="s">
        <v>150</v>
      </c>
      <c r="G17" s="18" t="s">
        <v>161</v>
      </c>
      <c r="H17" s="18" t="s">
        <v>162</v>
      </c>
      <c r="I17" s="18" t="s">
        <v>190</v>
      </c>
      <c r="J17" s="18" t="s">
        <v>191</v>
      </c>
      <c r="K17" s="18" t="s">
        <v>71</v>
      </c>
      <c r="L17" s="19" t="s">
        <v>11</v>
      </c>
      <c r="M17" s="18" t="s">
        <v>19</v>
      </c>
      <c r="N17" s="18" t="s">
        <v>192</v>
      </c>
      <c r="O17" s="23" t="s">
        <v>81</v>
      </c>
      <c r="P17" s="18" t="s">
        <v>193</v>
      </c>
    </row>
    <row r="18" customFormat="false" ht="54.75" hidden="false" customHeight="true" outlineLevel="0" collapsed="false">
      <c r="A18" s="18" t="s">
        <v>194</v>
      </c>
      <c r="B18" s="18" t="s">
        <v>195</v>
      </c>
      <c r="C18" s="18" t="s">
        <v>196</v>
      </c>
      <c r="D18" s="18" t="s">
        <v>12</v>
      </c>
      <c r="E18" s="18" t="s">
        <v>43</v>
      </c>
      <c r="F18" s="18" t="s">
        <v>150</v>
      </c>
      <c r="G18" s="18" t="s">
        <v>151</v>
      </c>
      <c r="H18" s="18" t="s">
        <v>152</v>
      </c>
      <c r="I18" s="18" t="s">
        <v>197</v>
      </c>
      <c r="J18" s="18" t="s">
        <v>198</v>
      </c>
      <c r="K18" s="18" t="s">
        <v>155</v>
      </c>
      <c r="L18" s="19" t="s">
        <v>11</v>
      </c>
      <c r="M18" s="18" t="s">
        <v>20</v>
      </c>
      <c r="N18" s="18" t="s">
        <v>199</v>
      </c>
      <c r="O18" s="23" t="s">
        <v>81</v>
      </c>
      <c r="P18" s="18" t="s">
        <v>200</v>
      </c>
    </row>
    <row r="19" customFormat="false" ht="54.75" hidden="false" customHeight="true" outlineLevel="0" collapsed="false">
      <c r="A19" s="18" t="s">
        <v>201</v>
      </c>
      <c r="B19" s="18" t="s">
        <v>202</v>
      </c>
      <c r="C19" s="18" t="s">
        <v>203</v>
      </c>
      <c r="D19" s="18" t="s">
        <v>12</v>
      </c>
      <c r="E19" s="18" t="s">
        <v>111</v>
      </c>
      <c r="F19" s="18" t="s">
        <v>204</v>
      </c>
      <c r="G19" s="18" t="s">
        <v>205</v>
      </c>
      <c r="H19" s="18" t="s">
        <v>206</v>
      </c>
      <c r="I19" s="18" t="s">
        <v>207</v>
      </c>
      <c r="J19" s="18" t="s">
        <v>208</v>
      </c>
      <c r="K19" s="18" t="s">
        <v>209</v>
      </c>
      <c r="L19" s="22" t="s">
        <v>13</v>
      </c>
      <c r="M19" s="18" t="s">
        <v>21</v>
      </c>
      <c r="N19" s="18" t="s">
        <v>210</v>
      </c>
      <c r="O19" s="20" t="s">
        <v>51</v>
      </c>
      <c r="P19" s="18" t="s">
        <v>211</v>
      </c>
    </row>
    <row r="20" customFormat="false" ht="54.75" hidden="false" customHeight="true" outlineLevel="0" collapsed="false">
      <c r="A20" s="18" t="s">
        <v>212</v>
      </c>
      <c r="B20" s="18" t="s">
        <v>213</v>
      </c>
      <c r="C20" s="18" t="s">
        <v>214</v>
      </c>
      <c r="D20" s="18" t="s">
        <v>12</v>
      </c>
      <c r="E20" s="18" t="s">
        <v>215</v>
      </c>
      <c r="F20" s="18" t="s">
        <v>216</v>
      </c>
      <c r="G20" s="18" t="s">
        <v>151</v>
      </c>
      <c r="H20" s="18" t="s">
        <v>152</v>
      </c>
      <c r="I20" s="18" t="s">
        <v>217</v>
      </c>
      <c r="J20" s="18" t="s">
        <v>218</v>
      </c>
      <c r="K20" s="18" t="s">
        <v>155</v>
      </c>
      <c r="L20" s="22" t="s">
        <v>13</v>
      </c>
      <c r="M20" s="18" t="s">
        <v>22</v>
      </c>
      <c r="N20" s="18" t="s">
        <v>219</v>
      </c>
      <c r="O20" s="20" t="s">
        <v>51</v>
      </c>
      <c r="P20" s="18" t="s">
        <v>220</v>
      </c>
    </row>
    <row r="21" customFormat="false" ht="54.75" hidden="false" customHeight="true" outlineLevel="0" collapsed="false">
      <c r="A21" s="18" t="s">
        <v>221</v>
      </c>
      <c r="B21" s="18" t="s">
        <v>222</v>
      </c>
      <c r="C21" s="18" t="s">
        <v>223</v>
      </c>
      <c r="D21" s="18" t="s">
        <v>12</v>
      </c>
      <c r="E21" s="18" t="s">
        <v>111</v>
      </c>
      <c r="F21" s="18" t="s">
        <v>204</v>
      </c>
      <c r="G21" s="18" t="s">
        <v>224</v>
      </c>
      <c r="H21" s="18" t="s">
        <v>225</v>
      </c>
      <c r="I21" s="18" t="s">
        <v>226</v>
      </c>
      <c r="J21" s="18" t="s">
        <v>227</v>
      </c>
      <c r="K21" s="18" t="s">
        <v>228</v>
      </c>
      <c r="L21" s="19" t="s">
        <v>11</v>
      </c>
      <c r="M21" s="18" t="s">
        <v>23</v>
      </c>
      <c r="N21" s="18" t="s">
        <v>229</v>
      </c>
      <c r="O21" s="21" t="s">
        <v>62</v>
      </c>
      <c r="P21" s="18" t="s">
        <v>230</v>
      </c>
    </row>
    <row r="22" customFormat="false" ht="54.75" hidden="false" customHeight="true" outlineLevel="0" collapsed="false">
      <c r="A22" s="18" t="s">
        <v>231</v>
      </c>
      <c r="B22" s="18" t="s">
        <v>232</v>
      </c>
      <c r="C22" s="18" t="s">
        <v>233</v>
      </c>
      <c r="D22" s="18" t="s">
        <v>12</v>
      </c>
      <c r="E22" s="18" t="s">
        <v>111</v>
      </c>
      <c r="F22" s="18" t="s">
        <v>204</v>
      </c>
      <c r="G22" s="18" t="s">
        <v>161</v>
      </c>
      <c r="H22" s="18" t="s">
        <v>162</v>
      </c>
      <c r="I22" s="18" t="s">
        <v>234</v>
      </c>
      <c r="J22" s="18" t="s">
        <v>235</v>
      </c>
      <c r="K22" s="18" t="s">
        <v>236</v>
      </c>
      <c r="L22" s="19" t="s">
        <v>11</v>
      </c>
      <c r="M22" s="18" t="s">
        <v>19</v>
      </c>
      <c r="N22" s="18" t="s">
        <v>237</v>
      </c>
      <c r="O22" s="23" t="s">
        <v>81</v>
      </c>
      <c r="P22" s="18" t="s">
        <v>238</v>
      </c>
    </row>
    <row r="23" customFormat="false" ht="54.75" hidden="false" customHeight="true" outlineLevel="0" collapsed="false">
      <c r="A23" s="18" t="s">
        <v>239</v>
      </c>
      <c r="B23" s="18" t="s">
        <v>240</v>
      </c>
      <c r="C23" s="18" t="s">
        <v>241</v>
      </c>
      <c r="D23" s="18" t="s">
        <v>14</v>
      </c>
      <c r="E23" s="18" t="s">
        <v>43</v>
      </c>
      <c r="F23" s="18" t="s">
        <v>242</v>
      </c>
      <c r="G23" s="18" t="s">
        <v>243</v>
      </c>
      <c r="H23" s="18" t="s">
        <v>244</v>
      </c>
      <c r="I23" s="18" t="s">
        <v>245</v>
      </c>
      <c r="J23" s="18" t="s">
        <v>246</v>
      </c>
      <c r="K23" s="18" t="s">
        <v>71</v>
      </c>
      <c r="L23" s="19" t="s">
        <v>11</v>
      </c>
      <c r="M23" s="18" t="s">
        <v>20</v>
      </c>
      <c r="N23" s="18" t="s">
        <v>247</v>
      </c>
      <c r="O23" s="20" t="s">
        <v>51</v>
      </c>
      <c r="P23" s="18" t="s">
        <v>248</v>
      </c>
    </row>
    <row r="24" customFormat="false" ht="54.75" hidden="false" customHeight="true" outlineLevel="0" collapsed="false">
      <c r="A24" s="18" t="s">
        <v>249</v>
      </c>
      <c r="B24" s="18" t="s">
        <v>250</v>
      </c>
      <c r="C24" s="18" t="s">
        <v>251</v>
      </c>
      <c r="D24" s="18" t="s">
        <v>14</v>
      </c>
      <c r="E24" s="18" t="s">
        <v>43</v>
      </c>
      <c r="F24" s="18" t="s">
        <v>242</v>
      </c>
      <c r="G24" s="18" t="s">
        <v>252</v>
      </c>
      <c r="H24" s="18" t="s">
        <v>253</v>
      </c>
      <c r="I24" s="18" t="s">
        <v>254</v>
      </c>
      <c r="J24" s="18" t="s">
        <v>255</v>
      </c>
      <c r="K24" s="18" t="s">
        <v>71</v>
      </c>
      <c r="L24" s="22" t="s">
        <v>13</v>
      </c>
      <c r="M24" s="18" t="s">
        <v>21</v>
      </c>
      <c r="N24" s="18" t="s">
        <v>256</v>
      </c>
      <c r="O24" s="20" t="s">
        <v>51</v>
      </c>
      <c r="P24" s="18" t="s">
        <v>257</v>
      </c>
    </row>
    <row r="25" customFormat="false" ht="54.75" hidden="false" customHeight="true" outlineLevel="0" collapsed="false">
      <c r="A25" s="18" t="s">
        <v>258</v>
      </c>
      <c r="B25" s="18" t="s">
        <v>259</v>
      </c>
      <c r="C25" s="18" t="s">
        <v>260</v>
      </c>
      <c r="D25" s="18" t="s">
        <v>14</v>
      </c>
      <c r="E25" s="18" t="s">
        <v>43</v>
      </c>
      <c r="F25" s="18" t="s">
        <v>242</v>
      </c>
      <c r="G25" s="18" t="s">
        <v>261</v>
      </c>
      <c r="H25" s="18" t="s">
        <v>262</v>
      </c>
      <c r="I25" s="18" t="s">
        <v>263</v>
      </c>
      <c r="J25" s="18" t="s">
        <v>264</v>
      </c>
      <c r="K25" s="18" t="s">
        <v>265</v>
      </c>
      <c r="L25" s="22" t="s">
        <v>13</v>
      </c>
      <c r="M25" s="18" t="s">
        <v>22</v>
      </c>
      <c r="N25" s="18" t="s">
        <v>266</v>
      </c>
      <c r="O25" s="25" t="s">
        <v>98</v>
      </c>
      <c r="P25" s="18" t="s">
        <v>267</v>
      </c>
    </row>
    <row r="26" customFormat="false" ht="54.75" hidden="false" customHeight="true" outlineLevel="0" collapsed="false">
      <c r="A26" s="18" t="s">
        <v>268</v>
      </c>
      <c r="B26" s="18" t="s">
        <v>269</v>
      </c>
      <c r="C26" s="18" t="s">
        <v>270</v>
      </c>
      <c r="D26" s="18" t="s">
        <v>14</v>
      </c>
      <c r="E26" s="18" t="s">
        <v>43</v>
      </c>
      <c r="F26" s="18" t="s">
        <v>242</v>
      </c>
      <c r="G26" s="18" t="s">
        <v>243</v>
      </c>
      <c r="H26" s="18" t="s">
        <v>244</v>
      </c>
      <c r="I26" s="18" t="s">
        <v>271</v>
      </c>
      <c r="J26" s="18" t="s">
        <v>272</v>
      </c>
      <c r="K26" s="18" t="s">
        <v>273</v>
      </c>
      <c r="L26" s="19" t="s">
        <v>11</v>
      </c>
      <c r="M26" s="18" t="s">
        <v>23</v>
      </c>
      <c r="N26" s="18" t="s">
        <v>274</v>
      </c>
      <c r="O26" s="23" t="s">
        <v>81</v>
      </c>
      <c r="P26" s="18" t="s">
        <v>275</v>
      </c>
    </row>
    <row r="27" customFormat="false" ht="54.75" hidden="false" customHeight="true" outlineLevel="0" collapsed="false">
      <c r="A27" s="18" t="s">
        <v>276</v>
      </c>
      <c r="B27" s="18" t="s">
        <v>277</v>
      </c>
      <c r="C27" s="18" t="s">
        <v>278</v>
      </c>
      <c r="D27" s="18" t="s">
        <v>14</v>
      </c>
      <c r="E27" s="18" t="s">
        <v>43</v>
      </c>
      <c r="F27" s="18" t="s">
        <v>242</v>
      </c>
      <c r="G27" s="18" t="s">
        <v>252</v>
      </c>
      <c r="H27" s="18" t="s">
        <v>253</v>
      </c>
      <c r="I27" s="18" t="s">
        <v>279</v>
      </c>
      <c r="J27" s="18" t="s">
        <v>280</v>
      </c>
      <c r="K27" s="18" t="s">
        <v>281</v>
      </c>
      <c r="L27" s="24" t="s">
        <v>15</v>
      </c>
      <c r="M27" s="18" t="s">
        <v>19</v>
      </c>
      <c r="N27" s="18" t="s">
        <v>282</v>
      </c>
      <c r="O27" s="20" t="s">
        <v>51</v>
      </c>
      <c r="P27" s="18" t="s">
        <v>283</v>
      </c>
    </row>
    <row r="28" customFormat="false" ht="54.75" hidden="false" customHeight="true" outlineLevel="0" collapsed="false">
      <c r="A28" s="18" t="s">
        <v>284</v>
      </c>
      <c r="B28" s="18" t="s">
        <v>285</v>
      </c>
      <c r="C28" s="18" t="s">
        <v>286</v>
      </c>
      <c r="D28" s="18" t="s">
        <v>14</v>
      </c>
      <c r="E28" s="18" t="s">
        <v>111</v>
      </c>
      <c r="F28" s="18" t="s">
        <v>204</v>
      </c>
      <c r="G28" s="18" t="s">
        <v>287</v>
      </c>
      <c r="H28" s="18" t="s">
        <v>288</v>
      </c>
      <c r="I28" s="18" t="s">
        <v>289</v>
      </c>
      <c r="J28" s="18" t="s">
        <v>290</v>
      </c>
      <c r="K28" s="18" t="s">
        <v>291</v>
      </c>
      <c r="L28" s="24" t="s">
        <v>15</v>
      </c>
      <c r="M28" s="18" t="s">
        <v>20</v>
      </c>
      <c r="N28" s="18" t="s">
        <v>292</v>
      </c>
      <c r="O28" s="20" t="s">
        <v>51</v>
      </c>
      <c r="P28" s="18" t="s">
        <v>293</v>
      </c>
    </row>
    <row r="29" customFormat="false" ht="54.75" hidden="false" customHeight="true" outlineLevel="0" collapsed="false">
      <c r="A29" s="18" t="s">
        <v>294</v>
      </c>
      <c r="B29" s="18" t="s">
        <v>295</v>
      </c>
      <c r="C29" s="18" t="s">
        <v>296</v>
      </c>
      <c r="D29" s="18" t="s">
        <v>14</v>
      </c>
      <c r="E29" s="18" t="s">
        <v>297</v>
      </c>
      <c r="F29" s="18" t="s">
        <v>216</v>
      </c>
      <c r="G29" s="18" t="s">
        <v>261</v>
      </c>
      <c r="H29" s="18" t="s">
        <v>262</v>
      </c>
      <c r="I29" s="18" t="s">
        <v>298</v>
      </c>
      <c r="J29" s="18" t="s">
        <v>299</v>
      </c>
      <c r="K29" s="18" t="s">
        <v>300</v>
      </c>
      <c r="L29" s="19" t="s">
        <v>11</v>
      </c>
      <c r="M29" s="18" t="s">
        <v>21</v>
      </c>
      <c r="N29" s="18" t="s">
        <v>301</v>
      </c>
      <c r="O29" s="23" t="s">
        <v>81</v>
      </c>
      <c r="P29" s="18" t="s">
        <v>302</v>
      </c>
    </row>
    <row r="30" customFormat="false" ht="54.75" hidden="false" customHeight="true" outlineLevel="0" collapsed="false">
      <c r="A30" s="18" t="s">
        <v>303</v>
      </c>
      <c r="B30" s="18" t="s">
        <v>304</v>
      </c>
      <c r="C30" s="18" t="s">
        <v>305</v>
      </c>
      <c r="D30" s="18" t="s">
        <v>14</v>
      </c>
      <c r="E30" s="18" t="s">
        <v>215</v>
      </c>
      <c r="F30" s="18" t="s">
        <v>216</v>
      </c>
      <c r="G30" s="18" t="s">
        <v>252</v>
      </c>
      <c r="H30" s="18" t="s">
        <v>253</v>
      </c>
      <c r="I30" s="18" t="s">
        <v>306</v>
      </c>
      <c r="J30" s="18" t="s">
        <v>307</v>
      </c>
      <c r="K30" s="18" t="s">
        <v>308</v>
      </c>
      <c r="L30" s="22" t="s">
        <v>13</v>
      </c>
      <c r="M30" s="18" t="s">
        <v>22</v>
      </c>
      <c r="N30" s="18" t="s">
        <v>309</v>
      </c>
      <c r="O30" s="20" t="s">
        <v>51</v>
      </c>
      <c r="P30" s="18" t="s">
        <v>310</v>
      </c>
    </row>
    <row r="31" customFormat="false" ht="54.75" hidden="false" customHeight="true" outlineLevel="0" collapsed="false">
      <c r="A31" s="18" t="s">
        <v>311</v>
      </c>
      <c r="B31" s="18" t="s">
        <v>312</v>
      </c>
      <c r="C31" s="18" t="s">
        <v>313</v>
      </c>
      <c r="D31" s="18" t="s">
        <v>14</v>
      </c>
      <c r="E31" s="18" t="s">
        <v>111</v>
      </c>
      <c r="F31" s="18" t="s">
        <v>204</v>
      </c>
      <c r="G31" s="18" t="s">
        <v>287</v>
      </c>
      <c r="H31" s="18" t="s">
        <v>288</v>
      </c>
      <c r="I31" s="18" t="s">
        <v>314</v>
      </c>
      <c r="J31" s="18" t="s">
        <v>315</v>
      </c>
      <c r="K31" s="18" t="s">
        <v>316</v>
      </c>
      <c r="L31" s="19" t="s">
        <v>11</v>
      </c>
      <c r="M31" s="18" t="s">
        <v>23</v>
      </c>
      <c r="N31" s="18" t="s">
        <v>317</v>
      </c>
      <c r="O31" s="23" t="s">
        <v>81</v>
      </c>
      <c r="P31" s="18" t="s">
        <v>318</v>
      </c>
    </row>
    <row r="32" customFormat="false" ht="54.75" hidden="false" customHeight="true" outlineLevel="0" collapsed="false">
      <c r="A32" s="18" t="s">
        <v>319</v>
      </c>
      <c r="B32" s="18" t="s">
        <v>320</v>
      </c>
      <c r="C32" s="18" t="s">
        <v>321</v>
      </c>
      <c r="D32" s="18" t="s">
        <v>14</v>
      </c>
      <c r="E32" s="18" t="s">
        <v>111</v>
      </c>
      <c r="F32" s="18" t="s">
        <v>204</v>
      </c>
      <c r="G32" s="18" t="s">
        <v>287</v>
      </c>
      <c r="H32" s="18" t="s">
        <v>288</v>
      </c>
      <c r="I32" s="18" t="s">
        <v>322</v>
      </c>
      <c r="J32" s="18" t="s">
        <v>323</v>
      </c>
      <c r="K32" s="18" t="s">
        <v>96</v>
      </c>
      <c r="L32" s="22" t="s">
        <v>13</v>
      </c>
      <c r="M32" s="18" t="s">
        <v>19</v>
      </c>
      <c r="N32" s="18" t="s">
        <v>324</v>
      </c>
      <c r="O32" s="20" t="s">
        <v>51</v>
      </c>
      <c r="P32" s="18" t="s">
        <v>325</v>
      </c>
    </row>
    <row r="33" customFormat="false" ht="54.75" hidden="false" customHeight="true" outlineLevel="0" collapsed="false">
      <c r="A33" s="18" t="s">
        <v>326</v>
      </c>
      <c r="B33" s="18" t="s">
        <v>327</v>
      </c>
      <c r="C33" s="18" t="s">
        <v>328</v>
      </c>
      <c r="D33" s="18" t="s">
        <v>16</v>
      </c>
      <c r="E33" s="18" t="s">
        <v>43</v>
      </c>
      <c r="F33" s="18" t="s">
        <v>44</v>
      </c>
      <c r="G33" s="18" t="s">
        <v>329</v>
      </c>
      <c r="H33" s="18" t="s">
        <v>330</v>
      </c>
      <c r="I33" s="18" t="s">
        <v>331</v>
      </c>
      <c r="J33" s="18" t="s">
        <v>332</v>
      </c>
      <c r="K33" s="18" t="s">
        <v>333</v>
      </c>
      <c r="L33" s="19" t="s">
        <v>11</v>
      </c>
      <c r="M33" s="18" t="s">
        <v>20</v>
      </c>
      <c r="N33" s="18" t="s">
        <v>334</v>
      </c>
      <c r="O33" s="23" t="s">
        <v>81</v>
      </c>
      <c r="P33" s="18" t="s">
        <v>335</v>
      </c>
    </row>
    <row r="34" customFormat="false" ht="54.75" hidden="false" customHeight="true" outlineLevel="0" collapsed="false">
      <c r="A34" s="18" t="s">
        <v>336</v>
      </c>
      <c r="B34" s="18" t="s">
        <v>337</v>
      </c>
      <c r="C34" s="18" t="s">
        <v>338</v>
      </c>
      <c r="D34" s="18" t="s">
        <v>16</v>
      </c>
      <c r="E34" s="18" t="s">
        <v>43</v>
      </c>
      <c r="F34" s="18" t="s">
        <v>44</v>
      </c>
      <c r="G34" s="18" t="s">
        <v>339</v>
      </c>
      <c r="H34" s="18" t="s">
        <v>340</v>
      </c>
      <c r="I34" s="18" t="s">
        <v>341</v>
      </c>
      <c r="J34" s="18" t="s">
        <v>342</v>
      </c>
      <c r="K34" s="18" t="s">
        <v>343</v>
      </c>
      <c r="L34" s="22" t="s">
        <v>13</v>
      </c>
      <c r="M34" s="18" t="s">
        <v>21</v>
      </c>
      <c r="N34" s="18" t="s">
        <v>344</v>
      </c>
      <c r="O34" s="20" t="s">
        <v>51</v>
      </c>
      <c r="P34" s="18" t="s">
        <v>345</v>
      </c>
    </row>
    <row r="35" customFormat="false" ht="54.75" hidden="false" customHeight="true" outlineLevel="0" collapsed="false">
      <c r="A35" s="18" t="s">
        <v>346</v>
      </c>
      <c r="B35" s="18" t="s">
        <v>347</v>
      </c>
      <c r="C35" s="18" t="s">
        <v>348</v>
      </c>
      <c r="D35" s="18" t="s">
        <v>16</v>
      </c>
      <c r="E35" s="18" t="s">
        <v>43</v>
      </c>
      <c r="F35" s="18" t="s">
        <v>44</v>
      </c>
      <c r="G35" s="18" t="s">
        <v>329</v>
      </c>
      <c r="H35" s="18" t="s">
        <v>330</v>
      </c>
      <c r="I35" s="18" t="s">
        <v>349</v>
      </c>
      <c r="J35" s="18" t="s">
        <v>350</v>
      </c>
      <c r="K35" s="18" t="s">
        <v>351</v>
      </c>
      <c r="L35" s="22" t="s">
        <v>13</v>
      </c>
      <c r="M35" s="18" t="s">
        <v>22</v>
      </c>
      <c r="N35" s="18" t="s">
        <v>352</v>
      </c>
      <c r="O35" s="20" t="s">
        <v>51</v>
      </c>
      <c r="P35" s="18" t="s">
        <v>353</v>
      </c>
    </row>
    <row r="36" customFormat="false" ht="54.75" hidden="false" customHeight="true" outlineLevel="0" collapsed="false">
      <c r="A36" s="18" t="s">
        <v>354</v>
      </c>
      <c r="B36" s="18" t="s">
        <v>355</v>
      </c>
      <c r="C36" s="18" t="s">
        <v>356</v>
      </c>
      <c r="D36" s="18" t="s">
        <v>16</v>
      </c>
      <c r="E36" s="18" t="s">
        <v>357</v>
      </c>
      <c r="F36" s="18" t="s">
        <v>216</v>
      </c>
      <c r="G36" s="18" t="s">
        <v>358</v>
      </c>
      <c r="H36" s="18" t="s">
        <v>359</v>
      </c>
      <c r="I36" s="18" t="s">
        <v>360</v>
      </c>
      <c r="J36" s="18" t="s">
        <v>361</v>
      </c>
      <c r="K36" s="18" t="s">
        <v>362</v>
      </c>
      <c r="L36" s="19" t="s">
        <v>11</v>
      </c>
      <c r="M36" s="18" t="s">
        <v>23</v>
      </c>
      <c r="N36" s="18" t="s">
        <v>363</v>
      </c>
      <c r="O36" s="20" t="s">
        <v>51</v>
      </c>
      <c r="P36" s="18" t="s">
        <v>364</v>
      </c>
    </row>
    <row r="37" customFormat="false" ht="54.75" hidden="false" customHeight="true" outlineLevel="0" collapsed="false">
      <c r="A37" s="18" t="s">
        <v>365</v>
      </c>
      <c r="B37" s="18" t="s">
        <v>366</v>
      </c>
      <c r="C37" s="18" t="s">
        <v>367</v>
      </c>
      <c r="D37" s="18" t="s">
        <v>16</v>
      </c>
      <c r="E37" s="18" t="s">
        <v>111</v>
      </c>
      <c r="F37" s="18" t="s">
        <v>368</v>
      </c>
      <c r="G37" s="18" t="s">
        <v>369</v>
      </c>
      <c r="H37" s="18" t="s">
        <v>370</v>
      </c>
      <c r="I37" s="18" t="s">
        <v>371</v>
      </c>
      <c r="J37" s="18" t="s">
        <v>372</v>
      </c>
      <c r="K37" s="18" t="s">
        <v>373</v>
      </c>
      <c r="L37" s="19" t="s">
        <v>11</v>
      </c>
      <c r="M37" s="18" t="s">
        <v>19</v>
      </c>
      <c r="N37" s="18" t="s">
        <v>374</v>
      </c>
      <c r="O37" s="23" t="s">
        <v>81</v>
      </c>
      <c r="P37" s="18" t="s">
        <v>375</v>
      </c>
    </row>
    <row r="38" customFormat="false" ht="54.75" hidden="false" customHeight="true" outlineLevel="0" collapsed="false">
      <c r="A38" s="18" t="s">
        <v>376</v>
      </c>
      <c r="B38" s="18" t="s">
        <v>377</v>
      </c>
      <c r="C38" s="18" t="s">
        <v>378</v>
      </c>
      <c r="D38" s="18" t="s">
        <v>16</v>
      </c>
      <c r="E38" s="18" t="s">
        <v>111</v>
      </c>
      <c r="F38" s="18" t="s">
        <v>368</v>
      </c>
      <c r="G38" s="18" t="s">
        <v>329</v>
      </c>
      <c r="H38" s="18" t="s">
        <v>330</v>
      </c>
      <c r="I38" s="18" t="s">
        <v>379</v>
      </c>
      <c r="J38" s="18" t="s">
        <v>380</v>
      </c>
      <c r="K38" s="18" t="s">
        <v>49</v>
      </c>
      <c r="L38" s="19" t="s">
        <v>11</v>
      </c>
      <c r="M38" s="18" t="s">
        <v>20</v>
      </c>
      <c r="N38" s="18" t="s">
        <v>381</v>
      </c>
      <c r="O38" s="21" t="s">
        <v>62</v>
      </c>
      <c r="P38" s="18" t="s">
        <v>382</v>
      </c>
    </row>
    <row r="39" customFormat="false" ht="54.75" hidden="false" customHeight="true" outlineLevel="0" collapsed="false">
      <c r="A39" s="18" t="s">
        <v>383</v>
      </c>
      <c r="B39" s="18" t="s">
        <v>384</v>
      </c>
      <c r="C39" s="18" t="s">
        <v>385</v>
      </c>
      <c r="D39" s="18" t="s">
        <v>16</v>
      </c>
      <c r="E39" s="18" t="s">
        <v>111</v>
      </c>
      <c r="F39" s="18" t="s">
        <v>368</v>
      </c>
      <c r="G39" s="18" t="s">
        <v>369</v>
      </c>
      <c r="H39" s="18" t="s">
        <v>370</v>
      </c>
      <c r="I39" s="18" t="s">
        <v>371</v>
      </c>
      <c r="J39" s="18" t="s">
        <v>386</v>
      </c>
      <c r="K39" s="18" t="s">
        <v>387</v>
      </c>
      <c r="L39" s="22" t="s">
        <v>13</v>
      </c>
      <c r="M39" s="18" t="s">
        <v>21</v>
      </c>
      <c r="N39" s="18" t="s">
        <v>388</v>
      </c>
      <c r="O39" s="20" t="s">
        <v>51</v>
      </c>
      <c r="P39" s="18" t="s">
        <v>389</v>
      </c>
    </row>
    <row r="40" customFormat="false" ht="54.75" hidden="false" customHeight="true" outlineLevel="0" collapsed="false">
      <c r="A40" s="18" t="s">
        <v>390</v>
      </c>
      <c r="B40" s="18" t="s">
        <v>391</v>
      </c>
      <c r="C40" s="18" t="s">
        <v>392</v>
      </c>
      <c r="D40" s="18" t="s">
        <v>16</v>
      </c>
      <c r="E40" s="18" t="s">
        <v>393</v>
      </c>
      <c r="F40" s="18" t="s">
        <v>216</v>
      </c>
      <c r="G40" s="18" t="s">
        <v>358</v>
      </c>
      <c r="H40" s="18" t="s">
        <v>359</v>
      </c>
      <c r="I40" s="18" t="s">
        <v>394</v>
      </c>
      <c r="J40" s="18" t="s">
        <v>395</v>
      </c>
      <c r="K40" s="18" t="s">
        <v>387</v>
      </c>
      <c r="L40" s="22" t="s">
        <v>13</v>
      </c>
      <c r="M40" s="18" t="s">
        <v>22</v>
      </c>
      <c r="N40" s="18" t="s">
        <v>396</v>
      </c>
      <c r="O40" s="20" t="s">
        <v>51</v>
      </c>
      <c r="P40" s="18" t="s">
        <v>397</v>
      </c>
    </row>
    <row r="41" customFormat="false" ht="54.75" hidden="false" customHeight="true" outlineLevel="0" collapsed="false">
      <c r="A41" s="18" t="s">
        <v>398</v>
      </c>
      <c r="B41" s="18" t="s">
        <v>399</v>
      </c>
      <c r="C41" s="18" t="s">
        <v>400</v>
      </c>
      <c r="D41" s="18" t="s">
        <v>17</v>
      </c>
      <c r="E41" s="18" t="s">
        <v>43</v>
      </c>
      <c r="F41" s="18" t="s">
        <v>44</v>
      </c>
      <c r="G41" s="18" t="s">
        <v>401</v>
      </c>
      <c r="H41" s="18" t="s">
        <v>402</v>
      </c>
      <c r="I41" s="18" t="s">
        <v>403</v>
      </c>
      <c r="J41" s="18" t="s">
        <v>404</v>
      </c>
      <c r="K41" s="18" t="s">
        <v>49</v>
      </c>
      <c r="L41" s="19" t="s">
        <v>11</v>
      </c>
      <c r="M41" s="18" t="s">
        <v>23</v>
      </c>
      <c r="N41" s="18" t="s">
        <v>405</v>
      </c>
      <c r="O41" s="21" t="s">
        <v>62</v>
      </c>
      <c r="P41" s="18" t="s">
        <v>406</v>
      </c>
    </row>
    <row r="42" customFormat="false" ht="54.75" hidden="false" customHeight="true" outlineLevel="0" collapsed="false">
      <c r="A42" s="18" t="s">
        <v>407</v>
      </c>
      <c r="B42" s="18" t="s">
        <v>408</v>
      </c>
      <c r="C42" s="18" t="s">
        <v>409</v>
      </c>
      <c r="D42" s="18" t="s">
        <v>17</v>
      </c>
      <c r="E42" s="18" t="s">
        <v>43</v>
      </c>
      <c r="F42" s="18" t="s">
        <v>44</v>
      </c>
      <c r="G42" s="18" t="s">
        <v>410</v>
      </c>
      <c r="H42" s="18" t="s">
        <v>411</v>
      </c>
      <c r="I42" s="18" t="s">
        <v>412</v>
      </c>
      <c r="J42" s="18" t="s">
        <v>413</v>
      </c>
      <c r="K42" s="18" t="s">
        <v>414</v>
      </c>
      <c r="L42" s="24" t="s">
        <v>15</v>
      </c>
      <c r="M42" s="18" t="s">
        <v>19</v>
      </c>
      <c r="N42" s="18" t="s">
        <v>415</v>
      </c>
      <c r="O42" s="20" t="s">
        <v>51</v>
      </c>
      <c r="P42" s="18" t="s">
        <v>416</v>
      </c>
    </row>
    <row r="43" customFormat="false" ht="54.75" hidden="false" customHeight="true" outlineLevel="0" collapsed="false">
      <c r="A43" s="18" t="s">
        <v>417</v>
      </c>
      <c r="B43" s="18" t="s">
        <v>418</v>
      </c>
      <c r="C43" s="18" t="s">
        <v>419</v>
      </c>
      <c r="D43" s="18" t="s">
        <v>17</v>
      </c>
      <c r="E43" s="18" t="s">
        <v>43</v>
      </c>
      <c r="F43" s="18" t="s">
        <v>44</v>
      </c>
      <c r="G43" s="18" t="s">
        <v>410</v>
      </c>
      <c r="H43" s="18" t="s">
        <v>411</v>
      </c>
      <c r="I43" s="18" t="s">
        <v>420</v>
      </c>
      <c r="J43" s="18" t="s">
        <v>421</v>
      </c>
      <c r="K43" s="18" t="s">
        <v>105</v>
      </c>
      <c r="L43" s="22" t="s">
        <v>13</v>
      </c>
      <c r="M43" s="18" t="s">
        <v>20</v>
      </c>
      <c r="N43" s="18" t="s">
        <v>422</v>
      </c>
      <c r="O43" s="20" t="s">
        <v>51</v>
      </c>
      <c r="P43" s="18" t="s">
        <v>423</v>
      </c>
    </row>
    <row r="44" customFormat="false" ht="54.75" hidden="false" customHeight="true" outlineLevel="0" collapsed="false">
      <c r="A44" s="18" t="s">
        <v>424</v>
      </c>
      <c r="B44" s="18" t="s">
        <v>425</v>
      </c>
      <c r="C44" s="18" t="s">
        <v>426</v>
      </c>
      <c r="D44" s="18" t="s">
        <v>17</v>
      </c>
      <c r="E44" s="18" t="s">
        <v>43</v>
      </c>
      <c r="F44" s="18" t="s">
        <v>44</v>
      </c>
      <c r="G44" s="18" t="s">
        <v>401</v>
      </c>
      <c r="H44" s="18" t="s">
        <v>402</v>
      </c>
      <c r="I44" s="18" t="s">
        <v>427</v>
      </c>
      <c r="J44" s="18" t="s">
        <v>428</v>
      </c>
      <c r="K44" s="18" t="s">
        <v>429</v>
      </c>
      <c r="L44" s="19" t="s">
        <v>11</v>
      </c>
      <c r="M44" s="18" t="s">
        <v>21</v>
      </c>
      <c r="N44" s="18" t="s">
        <v>430</v>
      </c>
      <c r="O44" s="23" t="s">
        <v>81</v>
      </c>
      <c r="P44" s="18" t="s">
        <v>431</v>
      </c>
    </row>
    <row r="45" customFormat="false" ht="54.75" hidden="false" customHeight="true" outlineLevel="0" collapsed="false">
      <c r="A45" s="18" t="s">
        <v>432</v>
      </c>
      <c r="B45" s="18" t="s">
        <v>433</v>
      </c>
      <c r="C45" s="18" t="s">
        <v>434</v>
      </c>
      <c r="D45" s="18" t="s">
        <v>17</v>
      </c>
      <c r="E45" s="18" t="s">
        <v>435</v>
      </c>
      <c r="F45" s="18" t="s">
        <v>216</v>
      </c>
      <c r="G45" s="18" t="s">
        <v>436</v>
      </c>
      <c r="H45" s="18" t="s">
        <v>437</v>
      </c>
      <c r="I45" s="18" t="s">
        <v>438</v>
      </c>
      <c r="J45" s="18" t="s">
        <v>439</v>
      </c>
      <c r="K45" s="18" t="s">
        <v>440</v>
      </c>
      <c r="L45" s="19" t="s">
        <v>11</v>
      </c>
      <c r="M45" s="18" t="s">
        <v>22</v>
      </c>
      <c r="N45" s="18" t="s">
        <v>441</v>
      </c>
      <c r="O45" s="23" t="s">
        <v>81</v>
      </c>
      <c r="P45" s="18" t="s">
        <v>442</v>
      </c>
    </row>
    <row r="46" customFormat="false" ht="54.75" hidden="false" customHeight="true" outlineLevel="0" collapsed="false">
      <c r="A46" s="18" t="s">
        <v>443</v>
      </c>
      <c r="B46" s="18" t="s">
        <v>444</v>
      </c>
      <c r="C46" s="18" t="s">
        <v>445</v>
      </c>
      <c r="D46" s="18" t="s">
        <v>17</v>
      </c>
      <c r="E46" s="18" t="s">
        <v>111</v>
      </c>
      <c r="F46" s="18" t="s">
        <v>204</v>
      </c>
      <c r="G46" s="18" t="s">
        <v>446</v>
      </c>
      <c r="H46" s="18" t="s">
        <v>447</v>
      </c>
      <c r="I46" s="18" t="s">
        <v>448</v>
      </c>
      <c r="J46" s="18" t="s">
        <v>449</v>
      </c>
      <c r="K46" s="18" t="s">
        <v>440</v>
      </c>
      <c r="L46" s="22" t="s">
        <v>13</v>
      </c>
      <c r="M46" s="18" t="s">
        <v>23</v>
      </c>
      <c r="N46" s="18" t="s">
        <v>450</v>
      </c>
      <c r="O46" s="20" t="s">
        <v>51</v>
      </c>
      <c r="P46" s="18" t="s">
        <v>451</v>
      </c>
    </row>
    <row r="47" customFormat="false" ht="54.75" hidden="false" customHeight="true" outlineLevel="0" collapsed="false">
      <c r="A47" s="18" t="s">
        <v>452</v>
      </c>
      <c r="B47" s="18" t="s">
        <v>453</v>
      </c>
      <c r="C47" s="18" t="s">
        <v>454</v>
      </c>
      <c r="D47" s="18" t="s">
        <v>17</v>
      </c>
      <c r="E47" s="18" t="s">
        <v>215</v>
      </c>
      <c r="F47" s="18" t="s">
        <v>216</v>
      </c>
      <c r="G47" s="18" t="s">
        <v>436</v>
      </c>
      <c r="H47" s="18" t="s">
        <v>437</v>
      </c>
      <c r="I47" s="18" t="s">
        <v>455</v>
      </c>
      <c r="J47" s="18" t="s">
        <v>456</v>
      </c>
      <c r="K47" s="18" t="s">
        <v>457</v>
      </c>
      <c r="L47" s="19" t="s">
        <v>11</v>
      </c>
      <c r="M47" s="18" t="s">
        <v>19</v>
      </c>
      <c r="N47" s="18" t="s">
        <v>458</v>
      </c>
      <c r="O47" s="21" t="s">
        <v>62</v>
      </c>
      <c r="P47" s="18" t="s">
        <v>459</v>
      </c>
    </row>
    <row r="48" customFormat="false" ht="54.75" hidden="false" customHeight="true" outlineLevel="0" collapsed="false">
      <c r="A48" s="18" t="s">
        <v>460</v>
      </c>
      <c r="B48" s="18" t="s">
        <v>461</v>
      </c>
      <c r="C48" s="18" t="s">
        <v>462</v>
      </c>
      <c r="D48" s="18" t="s">
        <v>17</v>
      </c>
      <c r="E48" s="18" t="s">
        <v>463</v>
      </c>
      <c r="F48" s="18" t="s">
        <v>216</v>
      </c>
      <c r="G48" s="18" t="s">
        <v>410</v>
      </c>
      <c r="H48" s="18" t="s">
        <v>411</v>
      </c>
      <c r="I48" s="18" t="s">
        <v>464</v>
      </c>
      <c r="J48" s="18" t="s">
        <v>465</v>
      </c>
      <c r="K48" s="18" t="s">
        <v>308</v>
      </c>
      <c r="L48" s="22" t="s">
        <v>13</v>
      </c>
      <c r="M48" s="18" t="s">
        <v>20</v>
      </c>
      <c r="N48" s="18" t="s">
        <v>466</v>
      </c>
      <c r="O48" s="23" t="s">
        <v>81</v>
      </c>
      <c r="P48" s="18" t="s">
        <v>467</v>
      </c>
    </row>
    <row r="49" customFormat="false" ht="54.75" hidden="false" customHeight="true" outlineLevel="0" collapsed="false">
      <c r="A49" s="18" t="s">
        <v>468</v>
      </c>
      <c r="B49" s="18" t="s">
        <v>469</v>
      </c>
      <c r="C49" s="18" t="s">
        <v>470</v>
      </c>
      <c r="D49" s="18" t="s">
        <v>17</v>
      </c>
      <c r="E49" s="18" t="s">
        <v>111</v>
      </c>
      <c r="F49" s="18" t="s">
        <v>112</v>
      </c>
      <c r="G49" s="18" t="s">
        <v>113</v>
      </c>
      <c r="H49" s="18" t="s">
        <v>114</v>
      </c>
      <c r="I49" s="18" t="s">
        <v>471</v>
      </c>
      <c r="J49" s="18" t="s">
        <v>472</v>
      </c>
      <c r="K49" s="18" t="s">
        <v>144</v>
      </c>
      <c r="L49" s="24" t="s">
        <v>15</v>
      </c>
      <c r="M49" s="18" t="s">
        <v>21</v>
      </c>
      <c r="N49" s="18" t="s">
        <v>473</v>
      </c>
      <c r="O49" s="20" t="s">
        <v>51</v>
      </c>
      <c r="P49" s="18" t="s">
        <v>474</v>
      </c>
    </row>
    <row r="50" customFormat="false" ht="54.75" hidden="false" customHeight="true" outlineLevel="0" collapsed="false">
      <c r="A50" s="18" t="s">
        <v>475</v>
      </c>
      <c r="B50" s="18" t="s">
        <v>476</v>
      </c>
      <c r="C50" s="18" t="s">
        <v>477</v>
      </c>
      <c r="D50" s="18" t="s">
        <v>17</v>
      </c>
      <c r="E50" s="18" t="s">
        <v>43</v>
      </c>
      <c r="F50" s="18" t="s">
        <v>44</v>
      </c>
      <c r="G50" s="18" t="s">
        <v>401</v>
      </c>
      <c r="H50" s="18" t="s">
        <v>402</v>
      </c>
      <c r="I50" s="18" t="s">
        <v>478</v>
      </c>
      <c r="J50" s="18" t="s">
        <v>479</v>
      </c>
      <c r="K50" s="18" t="s">
        <v>105</v>
      </c>
      <c r="L50" s="22" t="s">
        <v>13</v>
      </c>
      <c r="M50" s="18" t="s">
        <v>22</v>
      </c>
      <c r="N50" s="18" t="s">
        <v>480</v>
      </c>
      <c r="O50" s="25" t="s">
        <v>98</v>
      </c>
      <c r="P50" s="18" t="s">
        <v>481</v>
      </c>
    </row>
    <row r="51" customFormat="false" ht="54.75" hidden="false" customHeight="true" outlineLevel="0" collapsed="false">
      <c r="A51" s="18" t="s">
        <v>482</v>
      </c>
      <c r="B51" s="18" t="s">
        <v>483</v>
      </c>
      <c r="C51" s="18" t="s">
        <v>484</v>
      </c>
      <c r="D51" s="18" t="s">
        <v>12</v>
      </c>
      <c r="E51" s="18" t="s">
        <v>43</v>
      </c>
      <c r="F51" s="18" t="s">
        <v>150</v>
      </c>
      <c r="G51" s="18" t="s">
        <v>171</v>
      </c>
      <c r="H51" s="18" t="s">
        <v>172</v>
      </c>
      <c r="I51" s="18" t="s">
        <v>485</v>
      </c>
      <c r="J51" s="18" t="s">
        <v>486</v>
      </c>
      <c r="K51" s="18" t="s">
        <v>487</v>
      </c>
      <c r="L51" s="22" t="s">
        <v>13</v>
      </c>
      <c r="M51" s="18" t="s">
        <v>23</v>
      </c>
      <c r="N51" s="18" t="s">
        <v>480</v>
      </c>
      <c r="O51" s="25" t="s">
        <v>98</v>
      </c>
      <c r="P51" s="18" t="s">
        <v>488</v>
      </c>
    </row>
  </sheetData>
  <dataValidations count="1">
    <dataValidation allowBlank="false" errorStyle="stop" operator="between" showDropDown="false" showErrorMessage="false" showInputMessage="false" sqref="O2:O500" type="list">
      <formula1>"Resolved,Rejected,Escalated,Pending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5"/>
  </cols>
  <sheetData>
    <row r="1" customFormat="false" ht="27.75" hidden="false" customHeight="true" outlineLevel="0" collapsed="false">
      <c r="A1" s="26" t="s">
        <v>489</v>
      </c>
      <c r="B1" s="26"/>
      <c r="C1" s="26"/>
      <c r="D1" s="26"/>
    </row>
    <row r="2" customFormat="false" ht="28.35" hidden="false" customHeight="false" outlineLevel="0" collapsed="false">
      <c r="A2" s="17" t="s">
        <v>30</v>
      </c>
      <c r="B2" s="17" t="s">
        <v>27</v>
      </c>
      <c r="C2" s="17" t="s">
        <v>490</v>
      </c>
      <c r="D2" s="17" t="s">
        <v>491</v>
      </c>
    </row>
    <row r="3" customFormat="false" ht="30" hidden="false" customHeight="true" outlineLevel="0" collapsed="false">
      <c r="A3" s="27" t="s">
        <v>67</v>
      </c>
      <c r="B3" s="27" t="s">
        <v>10</v>
      </c>
      <c r="C3" s="27" t="s">
        <v>44</v>
      </c>
      <c r="D3" s="27" t="s">
        <v>68</v>
      </c>
    </row>
    <row r="4" customFormat="false" ht="30" hidden="false" customHeight="true" outlineLevel="0" collapsed="false">
      <c r="A4" s="27" t="s">
        <v>45</v>
      </c>
      <c r="B4" s="27" t="s">
        <v>10</v>
      </c>
      <c r="C4" s="27" t="s">
        <v>44</v>
      </c>
      <c r="D4" s="27" t="s">
        <v>46</v>
      </c>
    </row>
    <row r="5" customFormat="false" ht="30" hidden="false" customHeight="true" outlineLevel="0" collapsed="false">
      <c r="A5" s="27" t="s">
        <v>56</v>
      </c>
      <c r="B5" s="27" t="s">
        <v>10</v>
      </c>
      <c r="C5" s="27" t="s">
        <v>44</v>
      </c>
      <c r="D5" s="27" t="s">
        <v>57</v>
      </c>
    </row>
    <row r="6" customFormat="false" ht="30" hidden="false" customHeight="true" outlineLevel="0" collapsed="false">
      <c r="A6" s="27" t="s">
        <v>113</v>
      </c>
      <c r="B6" s="27" t="s">
        <v>10</v>
      </c>
      <c r="C6" s="27" t="s">
        <v>112</v>
      </c>
      <c r="D6" s="27" t="s">
        <v>114</v>
      </c>
    </row>
    <row r="7" customFormat="false" ht="30" hidden="false" customHeight="true" outlineLevel="0" collapsed="false">
      <c r="A7" s="27" t="s">
        <v>123</v>
      </c>
      <c r="B7" s="27" t="s">
        <v>10</v>
      </c>
      <c r="C7" s="27" t="s">
        <v>112</v>
      </c>
      <c r="D7" s="27" t="s">
        <v>124</v>
      </c>
    </row>
    <row r="8" customFormat="false" ht="30" hidden="false" customHeight="true" outlineLevel="0" collapsed="false">
      <c r="A8" s="27" t="s">
        <v>492</v>
      </c>
      <c r="B8" s="27" t="s">
        <v>10</v>
      </c>
      <c r="C8" s="27" t="s">
        <v>216</v>
      </c>
      <c r="D8" s="27" t="s">
        <v>493</v>
      </c>
    </row>
    <row r="9" customFormat="false" ht="30" hidden="false" customHeight="true" outlineLevel="0" collapsed="false">
      <c r="A9" s="28" t="s">
        <v>181</v>
      </c>
      <c r="B9" s="28" t="s">
        <v>12</v>
      </c>
      <c r="C9" s="28" t="s">
        <v>150</v>
      </c>
      <c r="D9" s="28" t="s">
        <v>182</v>
      </c>
    </row>
    <row r="10" customFormat="false" ht="30" hidden="false" customHeight="true" outlineLevel="0" collapsed="false">
      <c r="A10" s="28" t="s">
        <v>171</v>
      </c>
      <c r="B10" s="28" t="s">
        <v>12</v>
      </c>
      <c r="C10" s="28" t="s">
        <v>150</v>
      </c>
      <c r="D10" s="28" t="s">
        <v>172</v>
      </c>
    </row>
    <row r="11" customFormat="false" ht="30" hidden="false" customHeight="true" outlineLevel="0" collapsed="false">
      <c r="A11" s="28" t="s">
        <v>151</v>
      </c>
      <c r="B11" s="28" t="s">
        <v>12</v>
      </c>
      <c r="C11" s="28" t="s">
        <v>150</v>
      </c>
      <c r="D11" s="28" t="s">
        <v>152</v>
      </c>
    </row>
    <row r="12" customFormat="false" ht="30" hidden="false" customHeight="true" outlineLevel="0" collapsed="false">
      <c r="A12" s="28" t="s">
        <v>161</v>
      </c>
      <c r="B12" s="28" t="s">
        <v>12</v>
      </c>
      <c r="C12" s="28" t="s">
        <v>150</v>
      </c>
      <c r="D12" s="28" t="s">
        <v>162</v>
      </c>
    </row>
    <row r="13" customFormat="false" ht="30" hidden="false" customHeight="true" outlineLevel="0" collapsed="false">
      <c r="A13" s="28" t="s">
        <v>205</v>
      </c>
      <c r="B13" s="28" t="s">
        <v>12</v>
      </c>
      <c r="C13" s="28" t="s">
        <v>204</v>
      </c>
      <c r="D13" s="28" t="s">
        <v>206</v>
      </c>
    </row>
    <row r="14" customFormat="false" ht="30" hidden="false" customHeight="true" outlineLevel="0" collapsed="false">
      <c r="A14" s="28" t="s">
        <v>224</v>
      </c>
      <c r="B14" s="28" t="s">
        <v>12</v>
      </c>
      <c r="C14" s="28" t="s">
        <v>204</v>
      </c>
      <c r="D14" s="28" t="s">
        <v>225</v>
      </c>
    </row>
    <row r="15" customFormat="false" ht="30" hidden="false" customHeight="true" outlineLevel="0" collapsed="false">
      <c r="A15" s="29" t="s">
        <v>243</v>
      </c>
      <c r="B15" s="29" t="s">
        <v>14</v>
      </c>
      <c r="C15" s="29" t="s">
        <v>242</v>
      </c>
      <c r="D15" s="29" t="s">
        <v>244</v>
      </c>
    </row>
    <row r="16" customFormat="false" ht="30" hidden="false" customHeight="true" outlineLevel="0" collapsed="false">
      <c r="A16" s="29" t="s">
        <v>261</v>
      </c>
      <c r="B16" s="29" t="s">
        <v>14</v>
      </c>
      <c r="C16" s="29" t="s">
        <v>242</v>
      </c>
      <c r="D16" s="29" t="s">
        <v>262</v>
      </c>
    </row>
    <row r="17" customFormat="false" ht="30" hidden="false" customHeight="true" outlineLevel="0" collapsed="false">
      <c r="A17" s="29" t="s">
        <v>252</v>
      </c>
      <c r="B17" s="29" t="s">
        <v>14</v>
      </c>
      <c r="C17" s="29" t="s">
        <v>242</v>
      </c>
      <c r="D17" s="29" t="s">
        <v>253</v>
      </c>
    </row>
    <row r="18" customFormat="false" ht="30" hidden="false" customHeight="true" outlineLevel="0" collapsed="false">
      <c r="A18" s="29" t="s">
        <v>287</v>
      </c>
      <c r="B18" s="29" t="s">
        <v>14</v>
      </c>
      <c r="C18" s="29" t="s">
        <v>204</v>
      </c>
      <c r="D18" s="29" t="s">
        <v>288</v>
      </c>
    </row>
    <row r="19" customFormat="false" ht="30" hidden="false" customHeight="true" outlineLevel="0" collapsed="false">
      <c r="A19" s="30" t="s">
        <v>339</v>
      </c>
      <c r="B19" s="30" t="s">
        <v>16</v>
      </c>
      <c r="C19" s="30" t="s">
        <v>44</v>
      </c>
      <c r="D19" s="30" t="s">
        <v>340</v>
      </c>
    </row>
    <row r="20" customFormat="false" ht="30" hidden="false" customHeight="true" outlineLevel="0" collapsed="false">
      <c r="A20" s="30" t="s">
        <v>329</v>
      </c>
      <c r="B20" s="30" t="s">
        <v>16</v>
      </c>
      <c r="C20" s="30" t="s">
        <v>44</v>
      </c>
      <c r="D20" s="30" t="s">
        <v>330</v>
      </c>
    </row>
    <row r="21" customFormat="false" ht="30" hidden="false" customHeight="true" outlineLevel="0" collapsed="false">
      <c r="A21" s="30" t="s">
        <v>369</v>
      </c>
      <c r="B21" s="30" t="s">
        <v>16</v>
      </c>
      <c r="C21" s="30" t="s">
        <v>368</v>
      </c>
      <c r="D21" s="30" t="s">
        <v>370</v>
      </c>
    </row>
    <row r="22" customFormat="false" ht="30" hidden="false" customHeight="true" outlineLevel="0" collapsed="false">
      <c r="A22" s="30" t="s">
        <v>358</v>
      </c>
      <c r="B22" s="30" t="s">
        <v>16</v>
      </c>
      <c r="C22" s="30" t="s">
        <v>216</v>
      </c>
      <c r="D22" s="30" t="s">
        <v>359</v>
      </c>
    </row>
    <row r="23" customFormat="false" ht="30" hidden="false" customHeight="true" outlineLevel="0" collapsed="false">
      <c r="A23" s="31" t="s">
        <v>401</v>
      </c>
      <c r="B23" s="31" t="s">
        <v>17</v>
      </c>
      <c r="C23" s="31" t="s">
        <v>44</v>
      </c>
      <c r="D23" s="31" t="s">
        <v>402</v>
      </c>
    </row>
    <row r="24" customFormat="false" ht="30" hidden="false" customHeight="true" outlineLevel="0" collapsed="false">
      <c r="A24" s="31" t="s">
        <v>410</v>
      </c>
      <c r="B24" s="31" t="s">
        <v>17</v>
      </c>
      <c r="C24" s="31" t="s">
        <v>44</v>
      </c>
      <c r="D24" s="31" t="s">
        <v>411</v>
      </c>
    </row>
    <row r="25" customFormat="false" ht="30" hidden="false" customHeight="true" outlineLevel="0" collapsed="false">
      <c r="A25" s="31" t="s">
        <v>436</v>
      </c>
      <c r="B25" s="31" t="s">
        <v>17</v>
      </c>
      <c r="C25" s="31" t="s">
        <v>216</v>
      </c>
      <c r="D25" s="31" t="s">
        <v>437</v>
      </c>
    </row>
    <row r="26" customFormat="false" ht="30" hidden="false" customHeight="true" outlineLevel="0" collapsed="false">
      <c r="A26" s="31" t="s">
        <v>446</v>
      </c>
      <c r="B26" s="31" t="s">
        <v>17</v>
      </c>
      <c r="C26" s="31" t="s">
        <v>204</v>
      </c>
      <c r="D26" s="31" t="s">
        <v>447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2"/>
  </cols>
  <sheetData>
    <row r="1" customFormat="false" ht="27.75" hidden="false" customHeight="true" outlineLevel="0" collapsed="false">
      <c r="A1" s="32" t="s">
        <v>494</v>
      </c>
      <c r="B1" s="32"/>
      <c r="C1" s="32"/>
      <c r="D1" s="32"/>
      <c r="E1" s="32"/>
      <c r="F1" s="32"/>
      <c r="G1" s="32"/>
      <c r="H1" s="32"/>
    </row>
    <row r="2" customFormat="false" ht="15" hidden="false" customHeight="false" outlineLevel="0" collapsed="false">
      <c r="A2" s="33" t="s">
        <v>24</v>
      </c>
      <c r="B2" s="33" t="s">
        <v>26</v>
      </c>
      <c r="C2" s="33" t="s">
        <v>27</v>
      </c>
      <c r="D2" s="33" t="s">
        <v>34</v>
      </c>
      <c r="E2" s="33" t="s">
        <v>31</v>
      </c>
      <c r="F2" s="33" t="s">
        <v>38</v>
      </c>
      <c r="G2" s="33" t="s">
        <v>36</v>
      </c>
      <c r="H2" s="33" t="s">
        <v>39</v>
      </c>
    </row>
    <row r="3" customFormat="false" ht="49.5" hidden="false" customHeight="true" outlineLevel="0" collapsed="false">
      <c r="A3" s="34" t="s">
        <v>53</v>
      </c>
      <c r="B3" s="34" t="s">
        <v>55</v>
      </c>
      <c r="C3" s="34" t="s">
        <v>10</v>
      </c>
      <c r="D3" s="34" t="s">
        <v>60</v>
      </c>
      <c r="E3" s="34" t="s">
        <v>57</v>
      </c>
      <c r="F3" s="21" t="s">
        <v>62</v>
      </c>
      <c r="G3" s="34" t="s">
        <v>20</v>
      </c>
      <c r="H3" s="34" t="s">
        <v>63</v>
      </c>
    </row>
    <row r="4" customFormat="false" ht="49.5" hidden="false" customHeight="true" outlineLevel="0" collapsed="false">
      <c r="A4" s="34" t="s">
        <v>108</v>
      </c>
      <c r="B4" s="34" t="s">
        <v>110</v>
      </c>
      <c r="C4" s="34" t="s">
        <v>10</v>
      </c>
      <c r="D4" s="34" t="s">
        <v>117</v>
      </c>
      <c r="E4" s="34" t="s">
        <v>114</v>
      </c>
      <c r="F4" s="21" t="s">
        <v>62</v>
      </c>
      <c r="G4" s="34" t="s">
        <v>21</v>
      </c>
      <c r="H4" s="34" t="s">
        <v>119</v>
      </c>
    </row>
    <row r="5" customFormat="false" ht="49.5" hidden="false" customHeight="true" outlineLevel="0" collapsed="false">
      <c r="A5" s="34" t="s">
        <v>158</v>
      </c>
      <c r="B5" s="34" t="s">
        <v>160</v>
      </c>
      <c r="C5" s="34" t="s">
        <v>12</v>
      </c>
      <c r="D5" s="34" t="s">
        <v>165</v>
      </c>
      <c r="E5" s="34" t="s">
        <v>162</v>
      </c>
      <c r="F5" s="21" t="s">
        <v>62</v>
      </c>
      <c r="G5" s="34" t="s">
        <v>21</v>
      </c>
      <c r="H5" s="34" t="s">
        <v>167</v>
      </c>
    </row>
    <row r="6" customFormat="false" ht="49.5" hidden="false" customHeight="true" outlineLevel="0" collapsed="false">
      <c r="A6" s="34" t="s">
        <v>168</v>
      </c>
      <c r="B6" s="34" t="s">
        <v>170</v>
      </c>
      <c r="C6" s="34" t="s">
        <v>12</v>
      </c>
      <c r="D6" s="34" t="s">
        <v>175</v>
      </c>
      <c r="E6" s="34" t="s">
        <v>172</v>
      </c>
      <c r="F6" s="23" t="s">
        <v>81</v>
      </c>
      <c r="G6" s="34" t="s">
        <v>22</v>
      </c>
      <c r="H6" s="34" t="s">
        <v>177</v>
      </c>
    </row>
    <row r="7" customFormat="false" ht="49.5" hidden="false" customHeight="true" outlineLevel="0" collapsed="false">
      <c r="A7" s="34" t="s">
        <v>187</v>
      </c>
      <c r="B7" s="34" t="s">
        <v>189</v>
      </c>
      <c r="C7" s="34" t="s">
        <v>12</v>
      </c>
      <c r="D7" s="34" t="s">
        <v>71</v>
      </c>
      <c r="E7" s="34" t="s">
        <v>162</v>
      </c>
      <c r="F7" s="23" t="s">
        <v>81</v>
      </c>
      <c r="G7" s="34" t="s">
        <v>19</v>
      </c>
      <c r="H7" s="34" t="s">
        <v>193</v>
      </c>
    </row>
    <row r="8" customFormat="false" ht="49.5" hidden="false" customHeight="true" outlineLevel="0" collapsed="false">
      <c r="A8" s="34" t="s">
        <v>194</v>
      </c>
      <c r="B8" s="34" t="s">
        <v>196</v>
      </c>
      <c r="C8" s="34" t="s">
        <v>12</v>
      </c>
      <c r="D8" s="34" t="s">
        <v>155</v>
      </c>
      <c r="E8" s="34" t="s">
        <v>152</v>
      </c>
      <c r="F8" s="23" t="s">
        <v>81</v>
      </c>
      <c r="G8" s="34" t="s">
        <v>20</v>
      </c>
      <c r="H8" s="34" t="s">
        <v>200</v>
      </c>
    </row>
    <row r="9" customFormat="false" ht="49.5" hidden="false" customHeight="true" outlineLevel="0" collapsed="false">
      <c r="A9" s="34" t="s">
        <v>221</v>
      </c>
      <c r="B9" s="34" t="s">
        <v>223</v>
      </c>
      <c r="C9" s="34" t="s">
        <v>12</v>
      </c>
      <c r="D9" s="34" t="s">
        <v>228</v>
      </c>
      <c r="E9" s="34" t="s">
        <v>225</v>
      </c>
      <c r="F9" s="21" t="s">
        <v>62</v>
      </c>
      <c r="G9" s="34" t="s">
        <v>23</v>
      </c>
      <c r="H9" s="34" t="s">
        <v>230</v>
      </c>
    </row>
    <row r="10" customFormat="false" ht="49.5" hidden="false" customHeight="true" outlineLevel="0" collapsed="false">
      <c r="A10" s="34" t="s">
        <v>231</v>
      </c>
      <c r="B10" s="34" t="s">
        <v>233</v>
      </c>
      <c r="C10" s="34" t="s">
        <v>12</v>
      </c>
      <c r="D10" s="34" t="s">
        <v>236</v>
      </c>
      <c r="E10" s="34" t="s">
        <v>162</v>
      </c>
      <c r="F10" s="23" t="s">
        <v>81</v>
      </c>
      <c r="G10" s="34" t="s">
        <v>19</v>
      </c>
      <c r="H10" s="34" t="s">
        <v>238</v>
      </c>
    </row>
    <row r="11" customFormat="false" ht="49.5" hidden="false" customHeight="true" outlineLevel="0" collapsed="false">
      <c r="A11" s="34" t="s">
        <v>268</v>
      </c>
      <c r="B11" s="34" t="s">
        <v>270</v>
      </c>
      <c r="C11" s="34" t="s">
        <v>14</v>
      </c>
      <c r="D11" s="34" t="s">
        <v>273</v>
      </c>
      <c r="E11" s="34" t="s">
        <v>244</v>
      </c>
      <c r="F11" s="23" t="s">
        <v>81</v>
      </c>
      <c r="G11" s="34" t="s">
        <v>23</v>
      </c>
      <c r="H11" s="34" t="s">
        <v>275</v>
      </c>
    </row>
    <row r="12" customFormat="false" ht="49.5" hidden="false" customHeight="true" outlineLevel="0" collapsed="false">
      <c r="A12" s="34" t="s">
        <v>294</v>
      </c>
      <c r="B12" s="34" t="s">
        <v>296</v>
      </c>
      <c r="C12" s="34" t="s">
        <v>14</v>
      </c>
      <c r="D12" s="34" t="s">
        <v>300</v>
      </c>
      <c r="E12" s="34" t="s">
        <v>262</v>
      </c>
      <c r="F12" s="23" t="s">
        <v>81</v>
      </c>
      <c r="G12" s="34" t="s">
        <v>21</v>
      </c>
      <c r="H12" s="34" t="s">
        <v>302</v>
      </c>
    </row>
    <row r="13" customFormat="false" ht="49.5" hidden="false" customHeight="true" outlineLevel="0" collapsed="false">
      <c r="A13" s="34" t="s">
        <v>311</v>
      </c>
      <c r="B13" s="34" t="s">
        <v>313</v>
      </c>
      <c r="C13" s="34" t="s">
        <v>14</v>
      </c>
      <c r="D13" s="34" t="s">
        <v>316</v>
      </c>
      <c r="E13" s="34" t="s">
        <v>288</v>
      </c>
      <c r="F13" s="23" t="s">
        <v>81</v>
      </c>
      <c r="G13" s="34" t="s">
        <v>23</v>
      </c>
      <c r="H13" s="34" t="s">
        <v>318</v>
      </c>
    </row>
    <row r="14" customFormat="false" ht="49.5" hidden="false" customHeight="true" outlineLevel="0" collapsed="false">
      <c r="A14" s="34" t="s">
        <v>326</v>
      </c>
      <c r="B14" s="34" t="s">
        <v>328</v>
      </c>
      <c r="C14" s="34" t="s">
        <v>16</v>
      </c>
      <c r="D14" s="34" t="s">
        <v>333</v>
      </c>
      <c r="E14" s="34" t="s">
        <v>330</v>
      </c>
      <c r="F14" s="23" t="s">
        <v>81</v>
      </c>
      <c r="G14" s="34" t="s">
        <v>20</v>
      </c>
      <c r="H14" s="34" t="s">
        <v>335</v>
      </c>
    </row>
    <row r="15" customFormat="false" ht="49.5" hidden="false" customHeight="true" outlineLevel="0" collapsed="false">
      <c r="A15" s="34" t="s">
        <v>365</v>
      </c>
      <c r="B15" s="34" t="s">
        <v>367</v>
      </c>
      <c r="C15" s="34" t="s">
        <v>16</v>
      </c>
      <c r="D15" s="34" t="s">
        <v>373</v>
      </c>
      <c r="E15" s="34" t="s">
        <v>370</v>
      </c>
      <c r="F15" s="23" t="s">
        <v>81</v>
      </c>
      <c r="G15" s="34" t="s">
        <v>19</v>
      </c>
      <c r="H15" s="34" t="s">
        <v>375</v>
      </c>
    </row>
    <row r="16" customFormat="false" ht="49.5" hidden="false" customHeight="true" outlineLevel="0" collapsed="false">
      <c r="A16" s="34" t="s">
        <v>376</v>
      </c>
      <c r="B16" s="34" t="s">
        <v>378</v>
      </c>
      <c r="C16" s="34" t="s">
        <v>16</v>
      </c>
      <c r="D16" s="34" t="s">
        <v>49</v>
      </c>
      <c r="E16" s="34" t="s">
        <v>330</v>
      </c>
      <c r="F16" s="21" t="s">
        <v>62</v>
      </c>
      <c r="G16" s="34" t="s">
        <v>20</v>
      </c>
      <c r="H16" s="34" t="s">
        <v>382</v>
      </c>
    </row>
    <row r="17" customFormat="false" ht="49.5" hidden="false" customHeight="true" outlineLevel="0" collapsed="false">
      <c r="A17" s="34" t="s">
        <v>398</v>
      </c>
      <c r="B17" s="34" t="s">
        <v>400</v>
      </c>
      <c r="C17" s="34" t="s">
        <v>17</v>
      </c>
      <c r="D17" s="34" t="s">
        <v>49</v>
      </c>
      <c r="E17" s="34" t="s">
        <v>402</v>
      </c>
      <c r="F17" s="21" t="s">
        <v>62</v>
      </c>
      <c r="G17" s="34" t="s">
        <v>23</v>
      </c>
      <c r="H17" s="34" t="s">
        <v>406</v>
      </c>
    </row>
    <row r="18" customFormat="false" ht="49.5" hidden="false" customHeight="true" outlineLevel="0" collapsed="false">
      <c r="A18" s="34" t="s">
        <v>424</v>
      </c>
      <c r="B18" s="34" t="s">
        <v>426</v>
      </c>
      <c r="C18" s="34" t="s">
        <v>17</v>
      </c>
      <c r="D18" s="34" t="s">
        <v>429</v>
      </c>
      <c r="E18" s="34" t="s">
        <v>402</v>
      </c>
      <c r="F18" s="23" t="s">
        <v>81</v>
      </c>
      <c r="G18" s="34" t="s">
        <v>21</v>
      </c>
      <c r="H18" s="34" t="s">
        <v>431</v>
      </c>
    </row>
    <row r="19" customFormat="false" ht="49.5" hidden="false" customHeight="true" outlineLevel="0" collapsed="false">
      <c r="A19" s="34" t="s">
        <v>432</v>
      </c>
      <c r="B19" s="34" t="s">
        <v>434</v>
      </c>
      <c r="C19" s="34" t="s">
        <v>17</v>
      </c>
      <c r="D19" s="34" t="s">
        <v>440</v>
      </c>
      <c r="E19" s="34" t="s">
        <v>437</v>
      </c>
      <c r="F19" s="23" t="s">
        <v>81</v>
      </c>
      <c r="G19" s="34" t="s">
        <v>22</v>
      </c>
      <c r="H19" s="34" t="s">
        <v>442</v>
      </c>
    </row>
    <row r="20" customFormat="false" ht="49.5" hidden="false" customHeight="true" outlineLevel="0" collapsed="false">
      <c r="A20" s="34" t="s">
        <v>452</v>
      </c>
      <c r="B20" s="34" t="s">
        <v>454</v>
      </c>
      <c r="C20" s="34" t="s">
        <v>17</v>
      </c>
      <c r="D20" s="34" t="s">
        <v>457</v>
      </c>
      <c r="E20" s="34" t="s">
        <v>437</v>
      </c>
      <c r="F20" s="21" t="s">
        <v>62</v>
      </c>
      <c r="G20" s="34" t="s">
        <v>19</v>
      </c>
      <c r="H20" s="34" t="s">
        <v>459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25.5" hidden="false" customHeight="true" outlineLevel="0" collapsed="false">
      <c r="A1" s="35" t="s">
        <v>495</v>
      </c>
      <c r="B1" s="35"/>
      <c r="C1" s="35"/>
    </row>
    <row r="2" customFormat="false" ht="15" hidden="false" customHeight="false" outlineLevel="0" collapsed="false">
      <c r="A2" s="17" t="s">
        <v>496</v>
      </c>
      <c r="B2" s="17" t="s">
        <v>497</v>
      </c>
      <c r="C2" s="17" t="s">
        <v>498</v>
      </c>
    </row>
    <row r="3" customFormat="false" ht="60" hidden="false" customHeight="true" outlineLevel="0" collapsed="false">
      <c r="A3" s="36" t="s">
        <v>499</v>
      </c>
      <c r="B3" s="37" t="s">
        <v>500</v>
      </c>
      <c r="C3" s="38" t="s">
        <v>501</v>
      </c>
    </row>
    <row r="4" customFormat="false" ht="60" hidden="false" customHeight="true" outlineLevel="0" collapsed="false">
      <c r="A4" s="36" t="s">
        <v>502</v>
      </c>
      <c r="B4" s="37" t="s">
        <v>503</v>
      </c>
      <c r="C4" s="38" t="s">
        <v>504</v>
      </c>
    </row>
    <row r="5" customFormat="false" ht="60" hidden="false" customHeight="true" outlineLevel="0" collapsed="false">
      <c r="A5" s="36" t="s">
        <v>505</v>
      </c>
      <c r="B5" s="37" t="s">
        <v>506</v>
      </c>
      <c r="C5" s="38" t="s">
        <v>507</v>
      </c>
    </row>
    <row r="6" customFormat="false" ht="60" hidden="false" customHeight="true" outlineLevel="0" collapsed="false">
      <c r="A6" s="36" t="s">
        <v>508</v>
      </c>
      <c r="B6" s="37" t="s">
        <v>509</v>
      </c>
      <c r="C6" s="38" t="s">
        <v>510</v>
      </c>
    </row>
    <row r="7" customFormat="false" ht="60" hidden="false" customHeight="true" outlineLevel="0" collapsed="false">
      <c r="A7" s="36" t="s">
        <v>511</v>
      </c>
      <c r="B7" s="37" t="s">
        <v>512</v>
      </c>
      <c r="C7" s="38" t="s">
        <v>513</v>
      </c>
    </row>
    <row r="8" customFormat="false" ht="60" hidden="false" customHeight="true" outlineLevel="0" collapsed="false">
      <c r="A8" s="36" t="s">
        <v>514</v>
      </c>
      <c r="B8" s="37" t="s">
        <v>515</v>
      </c>
      <c r="C8" s="38" t="s">
        <v>516</v>
      </c>
    </row>
    <row r="9" customFormat="false" ht="60" hidden="false" customHeight="true" outlineLevel="0" collapsed="false">
      <c r="A9" s="36" t="s">
        <v>517</v>
      </c>
      <c r="B9" s="37" t="s">
        <v>518</v>
      </c>
      <c r="C9" s="38" t="s">
        <v>519</v>
      </c>
    </row>
    <row r="10" customFormat="false" ht="60" hidden="false" customHeight="true" outlineLevel="0" collapsed="false">
      <c r="A10" s="36" t="s">
        <v>520</v>
      </c>
      <c r="B10" s="37" t="s">
        <v>521</v>
      </c>
      <c r="C10" s="38" t="s">
        <v>522</v>
      </c>
    </row>
    <row r="11" customFormat="false" ht="60" hidden="false" customHeight="true" outlineLevel="0" collapsed="false">
      <c r="A11" s="36" t="s">
        <v>523</v>
      </c>
      <c r="B11" s="37" t="s">
        <v>524</v>
      </c>
      <c r="C11" s="38" t="s">
        <v>525</v>
      </c>
    </row>
    <row r="12" customFormat="false" ht="60" hidden="false" customHeight="true" outlineLevel="0" collapsed="false">
      <c r="A12" s="36" t="s">
        <v>526</v>
      </c>
      <c r="B12" s="37" t="s">
        <v>527</v>
      </c>
      <c r="C12" s="38" t="s">
        <v>528</v>
      </c>
    </row>
    <row r="13" customFormat="false" ht="60" hidden="false" customHeight="true" outlineLevel="0" collapsed="false">
      <c r="A13" s="36" t="s">
        <v>529</v>
      </c>
      <c r="B13" s="37" t="s">
        <v>530</v>
      </c>
      <c r="C13" s="38" t="s">
        <v>531</v>
      </c>
    </row>
    <row r="14" customFormat="false" ht="60" hidden="false" customHeight="true" outlineLevel="0" collapsed="false">
      <c r="A14" s="36" t="s">
        <v>532</v>
      </c>
      <c r="B14" s="37" t="s">
        <v>533</v>
      </c>
      <c r="C14" s="38" t="s">
        <v>534</v>
      </c>
    </row>
    <row r="15" customFormat="false" ht="60" hidden="false" customHeight="true" outlineLevel="0" collapsed="false">
      <c r="A15" s="36" t="s">
        <v>535</v>
      </c>
      <c r="B15" s="37" t="s">
        <v>536</v>
      </c>
      <c r="C15" s="38" t="s">
        <v>537</v>
      </c>
    </row>
    <row r="16" customFormat="false" ht="60" hidden="false" customHeight="true" outlineLevel="0" collapsed="false">
      <c r="A16" s="36" t="s">
        <v>538</v>
      </c>
      <c r="B16" s="37" t="s">
        <v>539</v>
      </c>
      <c r="C16" s="38" t="s">
        <v>540</v>
      </c>
    </row>
    <row r="17" customFormat="false" ht="60" hidden="false" customHeight="true" outlineLevel="0" collapsed="false">
      <c r="A17" s="36" t="s">
        <v>541</v>
      </c>
      <c r="B17" s="37" t="s">
        <v>542</v>
      </c>
      <c r="C17" s="38" t="s">
        <v>543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2026-02-17T08:17:26Z</dcterms:created>
  <dc:creator>openpyxl</dc:creator>
  <dc:description/>
  <dc:language>en-US</dc:language>
  <cp:lastModifiedBy/>
  <dcterms:modified xsi:type="dcterms:W3CDTF">2026-02-17T08:17:26Z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